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5D4C0A7D-EB71-476A-B18A-ABD6A6D02DE8}" xr6:coauthVersionLast="47" xr6:coauthVersionMax="47" xr10:uidLastSave="{00000000-0000-0000-0000-000000000000}"/>
  <bookViews>
    <workbookView xWindow="-108" yWindow="-108" windowWidth="23256" windowHeight="12456" xr2:uid="{DD7F525F-CBC0-4382-98B5-8B21318B93F9}"/>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9" i="10" l="1"/>
  <c r="D18" i="10"/>
  <c r="D17" i="10" a="1"/>
  <c r="D17" i="10" s="1"/>
  <c r="D16" i="10"/>
  <c r="D15" i="10"/>
  <c r="E12" i="9"/>
  <c r="E11" i="9"/>
  <c r="D10" i="6"/>
  <c r="D10" i="5"/>
  <c r="D8" i="4"/>
  <c r="E8" i="3" a="1"/>
  <c r="E8" i="3" s="1"/>
  <c r="E11" i="2"/>
  <c r="F14" i="1" a="1"/>
  <c r="F14" i="1" s="1"/>
  <c r="F13" i="1"/>
  <c r="F1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<sst xmlns="http://schemas.openxmlformats.org/spreadsheetml/2006/main" count="55" uniqueCount="51">
  <si>
    <t xml:space="preserve">: Understanding Central Tendency _x000B_ A bakery tracks the daily sales of muffins (in dozens) over a week: [10, 12, 11, 15, 14, 13, 12]._x000B_ What is the most representative value of their weekly sales, and why?_x000B_ </t>
  </si>
  <si>
    <t>WEAK</t>
  </si>
  <si>
    <t>MOST REPRESENTATIVE SALES</t>
  </si>
  <si>
    <t>MEAN</t>
  </si>
  <si>
    <t>MEDIAN</t>
  </si>
  <si>
    <t>MODE</t>
  </si>
  <si>
    <t xml:space="preserve">Most representatiive value is 12 because it reflect average weakly sales. </t>
  </si>
  <si>
    <t>Q1</t>
  </si>
  <si>
    <t>: Mean in Real Life _x000B_ A teacher records the marks of her students in a short quiz: [12, 15, 14, 16, 18, 20, 19]._x000B_ What is the mean score, and what does it tell us about the class’s performance?</t>
  </si>
  <si>
    <t>solution</t>
  </si>
  <si>
    <t>Class performance is neutral (16.28571), it is at mid level</t>
  </si>
  <si>
    <t>Q3</t>
  </si>
  <si>
    <t xml:space="preserve"> Mode in Real Life _x000B_ A store records the shoe sizes sold in one day: [7, 8, 9, 8, 8, 10, 7, 9]._x000B_ What is the mode, and why is this information useful for the store manager?</t>
  </si>
  <si>
    <t>Mode reflect number 8 is in more in count and show there are maximum number of shoes whoes size in 8.</t>
  </si>
  <si>
    <t xml:space="preserve"> Median in Real Life _x000B_ A car dealer notes the prices of used cars: [$8,000, $9,500, $10,200, $11,000, $50,000]._x000B_ Why is the median a better measure than the mean in this case? Calculate the median.</t>
  </si>
  <si>
    <t>The mean is skewed by the extreme outlier $50,000, making it unrepresentative of typical car prices. The median ignores extreme values and gives a better central value for skewed distributions</t>
  </si>
  <si>
    <t>Q4</t>
  </si>
  <si>
    <t>: Dispersion Introduction _x000B_ A student times how long it takes to finish a puzzle each day: [25, 30, 27, 35, 40]._x000B_ What does the range tell us about the variation in the student’s puzzle-solving time?</t>
  </si>
  <si>
    <t>Range</t>
  </si>
  <si>
    <t>The range of 15 indicates the spread or dispersion of puzzle‑solving times. It shows the difference between the longest and shortest times, suggesting moderate variability in the student's performance.</t>
  </si>
  <si>
    <t>Q5</t>
  </si>
  <si>
    <t xml:space="preserve"> Range in Action _x000B_ A farmer records the weekly weight of harvested apples (kg): [100, 105, 98, 110, 120]._x000B_ Find the range. How can this help the farmer in planning his packaging?</t>
  </si>
  <si>
    <t>The range of 22 kg shows the variation in weekly harvest weights. Knowing this helps the farmer plan packaging capacity and logistics, ensuring he has enough material to handle the highest expected weight and optimizes storage for the typical output.</t>
  </si>
  <si>
    <t>Q6</t>
  </si>
  <si>
    <t xml:space="preserve"> Variance for Decision-Making_x000B_ Two delivery companies track delivery delays (in minutes). Company A: variance = 6 Company B: variance = 15_x000B_ Which company is more consistent, and why?</t>
  </si>
  <si>
    <t>1. Interpret variance:</t>
  </si>
  <si>
    <t>Variance measures dispersion of delays around the mean. A lower variance means more consistency.</t>
  </si>
  <si>
    <t>2. Comparison:</t>
  </si>
  <si>
    <t>Company A has a smaller variance (6) than Company B (15).</t>
  </si>
  <si>
    <t>Company A is more consistent because it has a lower variance, indicating less spread in delivery delays.</t>
  </si>
  <si>
    <t>Q7</t>
  </si>
  <si>
    <t>: Standard Deviation in Context _x000B_ A finance student compares the daily price fluctuations of two cryptocurrencies. Coin A: standard deviation = $30 Coin B: standard deviation = $120_x000B_ Which coin is riskier to invest in, and why?</t>
  </si>
  <si>
    <t>Solution</t>
  </si>
  <si>
    <t>1. Interpret standard deviation:</t>
  </si>
  <si>
    <t>Standard deviation measures price volatility; higher values mean greater risk.</t>
  </si>
  <si>
    <t>Coin B has a larger standard deviation ($120) than Coin A ($30).</t>
  </si>
  <si>
    <t>Answer: Coin B is riskier because its higher standard deviation indicates larger price fluctuations.</t>
  </si>
  <si>
    <t>Q8</t>
  </si>
  <si>
    <t xml:space="preserve"> Combining Measures _x000B_ A family records their monthly electricity usage (in kWh): [400, 420, 390, 450, 410]. </t>
  </si>
  <si>
    <t>Find the mean and standard deviation. What do these values together tell you about the family’s energy use pattern?</t>
  </si>
  <si>
    <t>Mean</t>
  </si>
  <si>
    <t>Std</t>
  </si>
  <si>
    <t>The mean of 414 kWh represents the average monthly usage. The standard deviation of ≈20.59 kWh indicates the electricity consumption varies moderately around the mean, suggesting a relatively stable energy use pattern with no extreme spikes</t>
  </si>
  <si>
    <t>Q9</t>
  </si>
  <si>
    <t>Practical Application _x000B_ A basketball player’s points in 8 games are recorded: [15, 18, 20, 22, 25, 17, 19, 21]._x000B_ Find the mean, median, mode, range, and standard deviation. What insights can these measures provide about the player’s scoring performance?</t>
  </si>
  <si>
    <t>Median</t>
  </si>
  <si>
    <t>Mode</t>
  </si>
  <si>
    <t>Standard deviation</t>
  </si>
  <si>
    <t>The mean (≈19.625) and median (19.5) suggest the player's average scoring is around 19–20 points. The small standard deviation indicates consistent performance with scores tightly clustered. The range of 10 shows a moderate spread between the lowest and highest games</t>
  </si>
  <si>
    <t>Q10</t>
  </si>
  <si>
    <t>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</si>
</sst>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B652E-C1E7-4EBA-B0B1-3D97D92E509F}">
  <dimension ref="A1:F16"/>
  <sheetViews>
    <sheetView tabSelected="1" workbookViewId="0">
      <selection activeCell="D30" sqref="D30"/>
    </sheetView>
  </sheetViews>
  <sheetFormatPr defaultRowHeight="14.4" x14ac:dyDescent="0.3"/>
  <sheetData>
    <row r="1" spans="1:6" x14ac:dyDescent="0.3">
      <c r="A1" t="s">
        <v>7</v>
      </c>
    </row>
    <row r="2" spans="1:6" x14ac:dyDescent="0.3">
      <c r="B2" s="1" t="s">
        <v>0</v>
      </c>
    </row>
    <row r="4" spans="1:6" x14ac:dyDescent="0.3">
      <c r="A4" t="s">
        <v>1</v>
      </c>
    </row>
    <row r="5" spans="1:6" x14ac:dyDescent="0.3">
      <c r="A5">
        <v>1</v>
      </c>
      <c r="B5">
        <v>10</v>
      </c>
    </row>
    <row r="6" spans="1:6" x14ac:dyDescent="0.3">
      <c r="A6">
        <v>2</v>
      </c>
      <c r="B6">
        <v>12</v>
      </c>
    </row>
    <row r="7" spans="1:6" x14ac:dyDescent="0.3">
      <c r="A7">
        <v>3</v>
      </c>
      <c r="B7">
        <v>11</v>
      </c>
    </row>
    <row r="8" spans="1:6" x14ac:dyDescent="0.3">
      <c r="A8">
        <v>4</v>
      </c>
      <c r="B8">
        <v>15</v>
      </c>
    </row>
    <row r="9" spans="1:6" x14ac:dyDescent="0.3">
      <c r="A9">
        <v>5</v>
      </c>
      <c r="B9">
        <v>14</v>
      </c>
    </row>
    <row r="10" spans="1:6" x14ac:dyDescent="0.3">
      <c r="A10">
        <v>6</v>
      </c>
      <c r="B10">
        <v>13</v>
      </c>
      <c r="E10" t="s">
        <v>2</v>
      </c>
    </row>
    <row r="11" spans="1:6" x14ac:dyDescent="0.3">
      <c r="A11">
        <v>7</v>
      </c>
      <c r="B11">
        <v>12</v>
      </c>
    </row>
    <row r="12" spans="1:6" x14ac:dyDescent="0.3">
      <c r="E12" t="s">
        <v>3</v>
      </c>
      <c r="F12">
        <f>AVERAGE(B5:B11)</f>
        <v>12.428571428571429</v>
      </c>
    </row>
    <row r="13" spans="1:6" x14ac:dyDescent="0.3">
      <c r="E13" t="s">
        <v>4</v>
      </c>
      <c r="F13">
        <f>MEDIAN(B5:B11)</f>
        <v>12</v>
      </c>
    </row>
    <row r="14" spans="1:6" x14ac:dyDescent="0.3">
      <c r="E14" t="s">
        <v>5</v>
      </c>
      <c r="F14" cm="1">
        <f t="array" ref="F14">_xlfn.MODE.MULT(B5:B11)</f>
        <v>12</v>
      </c>
    </row>
    <row r="16" spans="1:6" x14ac:dyDescent="0.3">
      <c r="E16" t="s">
        <v>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7C903-0597-4F22-97BD-A293C6B0227D}">
  <dimension ref="A1:E12"/>
  <sheetViews>
    <sheetView workbookViewId="0">
      <selection activeCell="A2" sqref="A2"/>
    </sheetView>
  </sheetViews>
  <sheetFormatPr defaultRowHeight="14.4" x14ac:dyDescent="0.3"/>
  <sheetData>
    <row r="1" spans="1:5" x14ac:dyDescent="0.3">
      <c r="A1" t="s">
        <v>50</v>
      </c>
    </row>
    <row r="2" spans="1:5" x14ac:dyDescent="0.3">
      <c r="B2" s="1" t="s">
        <v>8</v>
      </c>
    </row>
    <row r="4" spans="1:5" x14ac:dyDescent="0.3">
      <c r="B4" t="s">
        <v>9</v>
      </c>
    </row>
    <row r="5" spans="1:5" x14ac:dyDescent="0.3">
      <c r="C5">
        <v>12</v>
      </c>
    </row>
    <row r="6" spans="1:5" x14ac:dyDescent="0.3">
      <c r="C6">
        <v>15</v>
      </c>
    </row>
    <row r="7" spans="1:5" x14ac:dyDescent="0.3">
      <c r="C7">
        <v>14</v>
      </c>
    </row>
    <row r="8" spans="1:5" x14ac:dyDescent="0.3">
      <c r="C8">
        <v>16</v>
      </c>
    </row>
    <row r="9" spans="1:5" x14ac:dyDescent="0.3">
      <c r="C9">
        <v>18</v>
      </c>
    </row>
    <row r="10" spans="1:5" x14ac:dyDescent="0.3">
      <c r="C10">
        <v>20</v>
      </c>
    </row>
    <row r="11" spans="1:5" x14ac:dyDescent="0.3">
      <c r="C11">
        <v>19</v>
      </c>
      <c r="E11">
        <f>AVERAGE(C5:C11)</f>
        <v>16.285714285714285</v>
      </c>
    </row>
    <row r="12" spans="1:5" x14ac:dyDescent="0.3">
      <c r="E12"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7EC7F-00A0-4423-9B0D-026353140EF6}">
  <dimension ref="A1:E11"/>
  <sheetViews>
    <sheetView workbookViewId="0">
      <selection activeCell="C31" sqref="C31"/>
    </sheetView>
  </sheetViews>
  <sheetFormatPr defaultRowHeight="14.4" x14ac:dyDescent="0.3"/>
  <sheetData>
    <row r="1" spans="1:5" x14ac:dyDescent="0.3">
      <c r="A1" t="s">
        <v>11</v>
      </c>
    </row>
    <row r="2" spans="1:5" x14ac:dyDescent="0.3">
      <c r="B2" s="1" t="s">
        <v>12</v>
      </c>
    </row>
    <row r="4" spans="1:5" x14ac:dyDescent="0.3">
      <c r="B4">
        <v>7</v>
      </c>
    </row>
    <row r="5" spans="1:5" x14ac:dyDescent="0.3">
      <c r="B5">
        <v>8</v>
      </c>
    </row>
    <row r="6" spans="1:5" x14ac:dyDescent="0.3">
      <c r="B6">
        <v>9</v>
      </c>
    </row>
    <row r="7" spans="1:5" x14ac:dyDescent="0.3">
      <c r="B7">
        <v>8</v>
      </c>
    </row>
    <row r="8" spans="1:5" x14ac:dyDescent="0.3">
      <c r="B8">
        <v>8</v>
      </c>
      <c r="E8" cm="1">
        <f t="array" ref="E8">_xlfn.MODE.MULT(B4:B11)</f>
        <v>8</v>
      </c>
    </row>
    <row r="9" spans="1:5" x14ac:dyDescent="0.3">
      <c r="B9">
        <v>10</v>
      </c>
      <c r="E9" t="s">
        <v>13</v>
      </c>
    </row>
    <row r="10" spans="1:5" x14ac:dyDescent="0.3">
      <c r="B10">
        <v>7</v>
      </c>
    </row>
    <row r="11" spans="1:5" x14ac:dyDescent="0.3">
      <c r="B11">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4A59D-20F4-43D6-A452-FC28DC61822C}">
  <dimension ref="A1:D10"/>
  <sheetViews>
    <sheetView workbookViewId="0">
      <selection activeCell="E30" sqref="E30"/>
    </sheetView>
  </sheetViews>
  <sheetFormatPr defaultRowHeight="14.4" x14ac:dyDescent="0.3"/>
  <sheetData>
    <row r="1" spans="1:4" x14ac:dyDescent="0.3">
      <c r="A1" t="s">
        <v>16</v>
      </c>
    </row>
    <row r="2" spans="1:4" x14ac:dyDescent="0.3">
      <c r="B2" t="s">
        <v>14</v>
      </c>
    </row>
    <row r="5" spans="1:4" x14ac:dyDescent="0.3">
      <c r="B5" s="2">
        <v>8000</v>
      </c>
    </row>
    <row r="6" spans="1:4" x14ac:dyDescent="0.3">
      <c r="B6" s="2">
        <v>9500</v>
      </c>
    </row>
    <row r="7" spans="1:4" x14ac:dyDescent="0.3">
      <c r="B7" s="2">
        <v>10200</v>
      </c>
    </row>
    <row r="8" spans="1:4" x14ac:dyDescent="0.3">
      <c r="B8" s="2">
        <v>11000</v>
      </c>
      <c r="D8" s="2">
        <f>MEDIAN(B5:B9)</f>
        <v>10200</v>
      </c>
    </row>
    <row r="9" spans="1:4" x14ac:dyDescent="0.3">
      <c r="B9" s="2">
        <v>50000</v>
      </c>
    </row>
    <row r="10" spans="1:4" x14ac:dyDescent="0.3">
      <c r="D10"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08DC8-1202-47A9-9037-D03993B26DCE}">
  <dimension ref="A1:D12"/>
  <sheetViews>
    <sheetView workbookViewId="0">
      <selection activeCell="F27" sqref="F27"/>
    </sheetView>
  </sheetViews>
  <sheetFormatPr defaultRowHeight="14.4" x14ac:dyDescent="0.3"/>
  <sheetData>
    <row r="1" spans="1:4" x14ac:dyDescent="0.3">
      <c r="A1" t="s">
        <v>20</v>
      </c>
    </row>
    <row r="2" spans="1:4" x14ac:dyDescent="0.3">
      <c r="B2" s="1" t="s">
        <v>17</v>
      </c>
    </row>
    <row r="4" spans="1:4" x14ac:dyDescent="0.3">
      <c r="B4">
        <v>25</v>
      </c>
    </row>
    <row r="5" spans="1:4" x14ac:dyDescent="0.3">
      <c r="B5">
        <v>30</v>
      </c>
    </row>
    <row r="6" spans="1:4" x14ac:dyDescent="0.3">
      <c r="B6">
        <v>27</v>
      </c>
    </row>
    <row r="7" spans="1:4" x14ac:dyDescent="0.3">
      <c r="B7">
        <v>35</v>
      </c>
    </row>
    <row r="8" spans="1:4" x14ac:dyDescent="0.3">
      <c r="B8">
        <v>40</v>
      </c>
    </row>
    <row r="10" spans="1:4" x14ac:dyDescent="0.3">
      <c r="C10" t="s">
        <v>18</v>
      </c>
      <c r="D10">
        <f>MAX(B4:B8)-MIN(B4:B8)</f>
        <v>15</v>
      </c>
    </row>
    <row r="12" spans="1:4" x14ac:dyDescent="0.3">
      <c r="C12" t="s">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4F13E-581C-48E3-B59E-2650DE4A7166}">
  <dimension ref="A1:D12"/>
  <sheetViews>
    <sheetView zoomScale="96" workbookViewId="0">
      <selection activeCell="D28" sqref="D28"/>
    </sheetView>
  </sheetViews>
  <sheetFormatPr defaultRowHeight="14.4" x14ac:dyDescent="0.3"/>
  <sheetData>
    <row r="1" spans="1:4" x14ac:dyDescent="0.3">
      <c r="A1" t="s">
        <v>23</v>
      </c>
    </row>
    <row r="3" spans="1:4" x14ac:dyDescent="0.3">
      <c r="B3" s="1" t="s">
        <v>21</v>
      </c>
    </row>
    <row r="5" spans="1:4" x14ac:dyDescent="0.3">
      <c r="B5">
        <v>100</v>
      </c>
    </row>
    <row r="6" spans="1:4" x14ac:dyDescent="0.3">
      <c r="B6">
        <v>105</v>
      </c>
    </row>
    <row r="7" spans="1:4" x14ac:dyDescent="0.3">
      <c r="B7">
        <v>98</v>
      </c>
    </row>
    <row r="8" spans="1:4" x14ac:dyDescent="0.3">
      <c r="B8">
        <v>110</v>
      </c>
    </row>
    <row r="9" spans="1:4" x14ac:dyDescent="0.3">
      <c r="B9">
        <v>120</v>
      </c>
    </row>
    <row r="10" spans="1:4" x14ac:dyDescent="0.3">
      <c r="C10" t="s">
        <v>18</v>
      </c>
      <c r="D10">
        <f>MAX(B5:B9)-MIN(B5:B9)</f>
        <v>22</v>
      </c>
    </row>
    <row r="12" spans="1:4" x14ac:dyDescent="0.3">
      <c r="B12" t="s">
        <v>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4CF30-7A35-49EE-8470-D7F00EB8FB27}">
  <dimension ref="A1:B14"/>
  <sheetViews>
    <sheetView workbookViewId="0">
      <selection activeCell="G29" sqref="G29"/>
    </sheetView>
  </sheetViews>
  <sheetFormatPr defaultRowHeight="14.4" x14ac:dyDescent="0.3"/>
  <sheetData>
    <row r="1" spans="1:2" x14ac:dyDescent="0.3">
      <c r="A1" t="s">
        <v>30</v>
      </c>
    </row>
    <row r="3" spans="1:2" x14ac:dyDescent="0.3">
      <c r="B3" s="1" t="s">
        <v>24</v>
      </c>
    </row>
    <row r="8" spans="1:2" x14ac:dyDescent="0.3">
      <c r="B8" t="s">
        <v>25</v>
      </c>
    </row>
    <row r="9" spans="1:2" x14ac:dyDescent="0.3">
      <c r="B9" t="s">
        <v>26</v>
      </c>
    </row>
    <row r="11" spans="1:2" x14ac:dyDescent="0.3">
      <c r="B11" t="s">
        <v>27</v>
      </c>
    </row>
    <row r="12" spans="1:2" x14ac:dyDescent="0.3">
      <c r="B12" t="s">
        <v>28</v>
      </c>
    </row>
    <row r="14" spans="1:2" x14ac:dyDescent="0.3">
      <c r="B14" t="s">
        <v>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BE14-144F-489A-BB88-625920C146D6}">
  <dimension ref="A1:C13"/>
  <sheetViews>
    <sheetView workbookViewId="0">
      <selection activeCell="H25" sqref="H25"/>
    </sheetView>
  </sheetViews>
  <sheetFormatPr defaultRowHeight="14.4" x14ac:dyDescent="0.3"/>
  <sheetData>
    <row r="1" spans="1:3" x14ac:dyDescent="0.3">
      <c r="A1" t="s">
        <v>37</v>
      </c>
    </row>
    <row r="3" spans="1:3" x14ac:dyDescent="0.3">
      <c r="B3" s="1" t="s">
        <v>31</v>
      </c>
    </row>
    <row r="5" spans="1:3" x14ac:dyDescent="0.3">
      <c r="B5" t="s">
        <v>32</v>
      </c>
    </row>
    <row r="7" spans="1:3" x14ac:dyDescent="0.3">
      <c r="C7" t="s">
        <v>33</v>
      </c>
    </row>
    <row r="8" spans="1:3" x14ac:dyDescent="0.3">
      <c r="C8" t="s">
        <v>34</v>
      </c>
    </row>
    <row r="10" spans="1:3" x14ac:dyDescent="0.3">
      <c r="C10" t="s">
        <v>27</v>
      </c>
    </row>
    <row r="11" spans="1:3" x14ac:dyDescent="0.3">
      <c r="C11" t="s">
        <v>35</v>
      </c>
    </row>
    <row r="13" spans="1:3" x14ac:dyDescent="0.3">
      <c r="C13" t="s">
        <v>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DC27E-F182-4867-818B-683F69D45E91}">
  <dimension ref="A1:E15"/>
  <sheetViews>
    <sheetView zoomScale="79" workbookViewId="0">
      <selection activeCell="E23" sqref="E23"/>
    </sheetView>
  </sheetViews>
  <sheetFormatPr defaultRowHeight="14.4" x14ac:dyDescent="0.3"/>
  <sheetData>
    <row r="1" spans="1:5" x14ac:dyDescent="0.3">
      <c r="A1" t="s">
        <v>43</v>
      </c>
    </row>
    <row r="3" spans="1:5" x14ac:dyDescent="0.3">
      <c r="B3" s="1" t="s">
        <v>38</v>
      </c>
    </row>
    <row r="4" spans="1:5" x14ac:dyDescent="0.3">
      <c r="B4" s="1" t="s">
        <v>39</v>
      </c>
    </row>
    <row r="7" spans="1:5" x14ac:dyDescent="0.3">
      <c r="B7">
        <v>400</v>
      </c>
    </row>
    <row r="8" spans="1:5" x14ac:dyDescent="0.3">
      <c r="B8">
        <v>420</v>
      </c>
    </row>
    <row r="9" spans="1:5" x14ac:dyDescent="0.3">
      <c r="B9">
        <v>390</v>
      </c>
    </row>
    <row r="10" spans="1:5" x14ac:dyDescent="0.3">
      <c r="B10">
        <v>450</v>
      </c>
    </row>
    <row r="11" spans="1:5" x14ac:dyDescent="0.3">
      <c r="B11">
        <v>410</v>
      </c>
      <c r="D11" t="s">
        <v>40</v>
      </c>
      <c r="E11">
        <f>AVERAGE(B7:B11)</f>
        <v>414</v>
      </c>
    </row>
    <row r="12" spans="1:5" x14ac:dyDescent="0.3">
      <c r="D12" t="s">
        <v>41</v>
      </c>
      <c r="E12">
        <f>_xlfn.STDEV.P(B7:B11)</f>
        <v>20.591260281974002</v>
      </c>
    </row>
    <row r="15" spans="1:5" x14ac:dyDescent="0.3">
      <c r="C15" t="s">
        <v>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4F9B7-6B1F-439B-8308-64C602ADC562}">
  <dimension ref="A1:D21"/>
  <sheetViews>
    <sheetView zoomScale="78" workbookViewId="0">
      <selection activeCell="E9" sqref="E9"/>
    </sheetView>
  </sheetViews>
  <sheetFormatPr defaultRowHeight="14.4" x14ac:dyDescent="0.3"/>
  <cols>
    <col min="3" max="3" width="18" customWidth="1"/>
  </cols>
  <sheetData>
    <row r="1" spans="1:4" x14ac:dyDescent="0.3">
      <c r="A1" t="s">
        <v>49</v>
      </c>
    </row>
    <row r="3" spans="1:4" x14ac:dyDescent="0.3">
      <c r="B3" t="s">
        <v>44</v>
      </c>
    </row>
    <row r="6" spans="1:4" x14ac:dyDescent="0.3">
      <c r="B6">
        <v>15</v>
      </c>
    </row>
    <row r="7" spans="1:4" x14ac:dyDescent="0.3">
      <c r="B7">
        <v>18</v>
      </c>
    </row>
    <row r="8" spans="1:4" x14ac:dyDescent="0.3">
      <c r="B8">
        <v>20</v>
      </c>
    </row>
    <row r="9" spans="1:4" x14ac:dyDescent="0.3">
      <c r="B9">
        <v>22</v>
      </c>
    </row>
    <row r="10" spans="1:4" x14ac:dyDescent="0.3">
      <c r="B10">
        <v>25</v>
      </c>
    </row>
    <row r="11" spans="1:4" x14ac:dyDescent="0.3">
      <c r="B11">
        <v>17</v>
      </c>
    </row>
    <row r="12" spans="1:4" x14ac:dyDescent="0.3">
      <c r="B12">
        <v>19</v>
      </c>
    </row>
    <row r="13" spans="1:4" x14ac:dyDescent="0.3">
      <c r="B13">
        <v>21</v>
      </c>
    </row>
    <row r="15" spans="1:4" x14ac:dyDescent="0.3">
      <c r="C15" t="s">
        <v>40</v>
      </c>
      <c r="D15">
        <f>AVERAGE(B6:B13)</f>
        <v>19.625</v>
      </c>
    </row>
    <row r="16" spans="1:4" x14ac:dyDescent="0.3">
      <c r="C16" t="s">
        <v>45</v>
      </c>
      <c r="D16">
        <f>MEDIAN(B6:B13)</f>
        <v>19.5</v>
      </c>
    </row>
    <row r="17" spans="3:4" x14ac:dyDescent="0.3">
      <c r="C17" t="s">
        <v>46</v>
      </c>
      <c r="D17" t="e" cm="1">
        <f t="array" ref="D17">_xlfn.MODE.MULT(B6:B13)</f>
        <v>#N/A</v>
      </c>
    </row>
    <row r="18" spans="3:4" x14ac:dyDescent="0.3">
      <c r="C18" t="s">
        <v>47</v>
      </c>
      <c r="D18">
        <f>_xlfn.STDEV.P(B6:B13)</f>
        <v>2.912795049432761</v>
      </c>
    </row>
    <row r="19" spans="3:4" x14ac:dyDescent="0.3">
      <c r="C19" t="s">
        <v>18</v>
      </c>
      <c r="D19">
        <f>MAX(B6:B13)-MIN(B6:B13)</f>
        <v>10</v>
      </c>
    </row>
    <row r="21" spans="3:4" x14ac:dyDescent="0.3">
      <c r="C2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Kumar</dc:creator>
  <cp:lastModifiedBy>Archit Baghel</cp:lastModifiedBy>
  <dcterms:created xsi:type="dcterms:W3CDTF">2025-12-23T16:57:41Z</dcterms:created>
  <dcterms:modified xsi:type="dcterms:W3CDTF">2025-12-27T06:04:32Z</dcterms:modified>
</cp:coreProperties>
</file>