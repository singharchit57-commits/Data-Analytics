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5F8BF0-C4A8-4AC8-8BC4-D437B5F860FF}" xr6:coauthVersionLast="47" xr6:coauthVersionMax="47" xr10:uidLastSave="{00000000-0000-0000-0000-000000000000}"/>
  <bookViews>
    <workbookView xWindow="-108" yWindow="-108" windowWidth="23256" windowHeight="12456" xr2:uid="{C388B990-E955-4502-B65A-6B76ACE639EC}"/>
  </bookViews>
  <sheets>
    <sheet name="ASSIGNMENT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7" i="1" l="1"/>
  <c r="D76" i="1"/>
  <c r="D75" i="1"/>
  <c r="E64" i="1"/>
  <c r="E63" i="1"/>
  <c r="E62" i="1"/>
  <c r="C53" i="1"/>
  <c r="C41" i="1"/>
  <c r="D30" i="1" a="1"/>
  <c r="D30" i="1" s="1"/>
  <c r="D29" i="1" a="1"/>
  <c r="D29" i="1" s="1"/>
  <c r="D28" i="1" a="1"/>
  <c r="D28" i="1" s="1"/>
  <c r="D27" i="1" a="1"/>
  <c r="D27" i="1" s="1"/>
  <c r="D26" i="1" a="1"/>
  <c r="D26" i="1" s="1"/>
  <c r="E19" i="1"/>
  <c r="E18" i="1"/>
  <c r="E17" i="1"/>
  <c r="E16" i="1"/>
  <c r="D6" i="1"/>
  <c r="D7" i="1"/>
  <c r="D8" i="1"/>
  <c r="D9" i="1"/>
  <c r="D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<sst xmlns="http://schemas.openxmlformats.org/spreadsheetml/2006/main" count="95" uniqueCount="70">
  <si>
    <t>Student Name</t>
  </si>
  <si>
    <t>Marks</t>
  </si>
  <si>
    <t>Riya</t>
  </si>
  <si>
    <t>Siya</t>
  </si>
  <si>
    <t>Raju</t>
  </si>
  <si>
    <t>Rahul</t>
  </si>
  <si>
    <t>Ram</t>
  </si>
  <si>
    <t>remarks</t>
  </si>
  <si>
    <t>Employee</t>
  </si>
  <si>
    <t>Sales</t>
  </si>
  <si>
    <t>Attendance</t>
  </si>
  <si>
    <t>Arjun</t>
  </si>
  <si>
    <t>Simran</t>
  </si>
  <si>
    <t>Rohit</t>
  </si>
  <si>
    <t>Anjali</t>
  </si>
  <si>
    <t>Bonus</t>
  </si>
  <si>
    <t>Raj</t>
  </si>
  <si>
    <t>Neha</t>
  </si>
  <si>
    <t>Vivek</t>
  </si>
  <si>
    <t>Rani</t>
  </si>
  <si>
    <t>Sneha</t>
  </si>
  <si>
    <t>Result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</si>
  <si>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</si>
  <si>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</si>
  <si>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</si>
  <si>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</si>
  <si>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</si>
  <si>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</si>
  <si>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</si>
  <si>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</si>
  <si>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</si>
  <si>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</si>
  <si>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</si>
  <si>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</si>
  <si>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Sales Amount</t>
  </si>
  <si>
    <t>Commission Rate</t>
  </si>
  <si>
    <t>Employee Name</t>
  </si>
  <si>
    <t>Leaves Taken</t>
  </si>
  <si>
    <t>Leaves Allowed</t>
  </si>
  <si>
    <t>Alex</t>
  </si>
  <si>
    <t>Bob</t>
  </si>
  <si>
    <t>Anna</t>
  </si>
  <si>
    <t>Remark</t>
  </si>
  <si>
    <t>Salary</t>
  </si>
  <si>
    <t>E105</t>
  </si>
  <si>
    <t>E106</t>
  </si>
  <si>
    <t>E303</t>
  </si>
  <si>
    <t>E301</t>
  </si>
  <si>
    <t>Q1</t>
  </si>
  <si>
    <t>Write a formula to check if the marks in cell  are greater than or equal to 40. If yes, return B2 "Fail" .</t>
  </si>
  <si>
    <t>Q2</t>
  </si>
  <si>
    <t xml:space="preserve"> company gives a bonus  if sales are above 40,000 and attendance is greater than or equal to 90%. Write a formula to calculate whether the employee will get a bonus or not .</t>
  </si>
  <si>
    <t>Write a nested IF formula:.</t>
  </si>
  <si>
    <t>If marks in B2 are = 90 . "A", = 75 . "B", = 50 . "C", otherwise "Fail".</t>
  </si>
  <si>
    <t>Q3</t>
  </si>
  <si>
    <t>Solution</t>
  </si>
  <si>
    <t>Q4</t>
  </si>
  <si>
    <t>Find the Department of Employee ID = E103. Also explain which LOOKUP function is used and why?</t>
  </si>
  <si>
    <t>Q5</t>
  </si>
  <si>
    <t>company has set the following commission structure for its sales team:</t>
  </si>
  <si>
    <t>If a salesperson achieves sales of .45,000, use the VLOOKUP function to determine the commission rate applicable</t>
  </si>
  <si>
    <t>Q6</t>
  </si>
  <si>
    <t>The HR department maintains the following leave records of employees:onus or not .</t>
  </si>
  <si>
    <t>Write an IF function to check whether an employee has Exceeded their allowed leave balance.</t>
  </si>
  <si>
    <t>If Leaves Taken &gt; Allowed Leaves, display "Exceeded".</t>
  </si>
  <si>
    <t>Otherwise, display "OK"..</t>
  </si>
  <si>
    <t>Q7</t>
  </si>
  <si>
    <t>Find the salary of EmpID = E105 using INDEX-MATCH Function</t>
  </si>
  <si>
    <t>Q8</t>
  </si>
  <si>
    <t>Use the XLOOKUP function to find the Department of the employee with Emp ID = E303.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</si>
</sst>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 vertical="center" indent="1" readingOrder="1"/>
    </xf>
    <xf numFmtId="0" fontId="4" fillId="0" borderId="1" xfId="0" applyFont="1" applyBorder="1" applyAlignment="1">
      <alignment horizontal="left" vertical="center" indent="1" readingOrder="1"/>
    </xf>
    <xf numFmtId="0" fontId="4" fillId="0" borderId="1" xfId="0" applyFont="1" applyBorder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9" fontId="0" fillId="0" borderId="0" xfId="1" applyFont="1" applyAlignment="1"/>
    <xf numFmtId="0" fontId="3" fillId="0" borderId="1" xfId="0" applyFont="1" applyBorder="1" applyAlignment="1">
      <alignment horizontal="center" vertical="center" readingOrder="1"/>
    </xf>
    <xf numFmtId="9" fontId="3" fillId="0" borderId="1" xfId="0" applyNumberFormat="1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left" vertical="center" readingOrder="1"/>
    </xf>
    <xf numFmtId="0" fontId="6" fillId="0" borderId="2" xfId="0" applyFont="1" applyBorder="1"/>
    <xf numFmtId="0" fontId="3" fillId="0" borderId="2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9C1B-432B-4D32-A003-54EB4377EA0B}">
  <dimension ref="A2:E87"/>
  <sheetViews>
    <sheetView tabSelected="1" zoomScale="130" zoomScaleNormal="130" workbookViewId="0">
      <selection activeCell="C87" sqref="C87"/>
    </sheetView>
  </sheetViews>
  <sheetFormatPr defaultRowHeight="14.4" x14ac:dyDescent="0.3"/>
  <cols>
    <col min="2" max="2" width="20.88671875" customWidth="1"/>
    <col min="3" max="3" width="18.44140625" bestFit="1" customWidth="1"/>
    <col min="4" max="4" width="16.6640625" bestFit="1" customWidth="1"/>
    <col min="5" max="5" width="10.88671875" bestFit="1" customWidth="1"/>
  </cols>
  <sheetData>
    <row r="2" spans="1:5" x14ac:dyDescent="0.3">
      <c r="A2" t="s">
        <v>48</v>
      </c>
      <c r="B2" t="s">
        <v>49</v>
      </c>
    </row>
    <row r="4" spans="1:5" x14ac:dyDescent="0.3">
      <c r="A4" t="s">
        <v>55</v>
      </c>
      <c r="B4" s="5" t="s">
        <v>0</v>
      </c>
      <c r="C4" s="5" t="s">
        <v>1</v>
      </c>
      <c r="D4" s="5" t="s">
        <v>7</v>
      </c>
    </row>
    <row r="5" spans="1:5" x14ac:dyDescent="0.3">
      <c r="B5" s="5" t="s">
        <v>2</v>
      </c>
      <c r="C5" s="5">
        <v>45</v>
      </c>
      <c r="D5" s="5" t="str">
        <f>IF($C5&gt;=40,"pass","fail")</f>
        <v>pass</v>
      </c>
    </row>
    <row r="6" spans="1:5" x14ac:dyDescent="0.3">
      <c r="B6" s="5" t="s">
        <v>3</v>
      </c>
      <c r="C6" s="5">
        <v>72</v>
      </c>
      <c r="D6" s="5" t="str">
        <f t="shared" ref="D6:D9" si="0">IF($C6&gt;=40,"pass","fail")</f>
        <v>pass</v>
      </c>
    </row>
    <row r="7" spans="1:5" x14ac:dyDescent="0.3">
      <c r="B7" s="5" t="s">
        <v>4</v>
      </c>
      <c r="C7" s="5">
        <v>55</v>
      </c>
      <c r="D7" s="5" t="str">
        <f t="shared" si="0"/>
        <v>pass</v>
      </c>
    </row>
    <row r="8" spans="1:5" x14ac:dyDescent="0.3">
      <c r="B8" s="5" t="s">
        <v>5</v>
      </c>
      <c r="C8" s="5">
        <v>80</v>
      </c>
      <c r="D8" s="5" t="str">
        <f t="shared" si="0"/>
        <v>pass</v>
      </c>
    </row>
    <row r="9" spans="1:5" x14ac:dyDescent="0.3">
      <c r="B9" s="5" t="s">
        <v>6</v>
      </c>
      <c r="C9" s="5">
        <v>30</v>
      </c>
      <c r="D9" s="5" t="str">
        <f t="shared" si="0"/>
        <v>fail</v>
      </c>
    </row>
    <row r="12" spans="1:5" x14ac:dyDescent="0.3">
      <c r="A12" t="s">
        <v>50</v>
      </c>
      <c r="B12" t="s">
        <v>51</v>
      </c>
    </row>
    <row r="15" spans="1:5" x14ac:dyDescent="0.3">
      <c r="A15" t="s">
        <v>55</v>
      </c>
      <c r="B15" s="16" t="s">
        <v>8</v>
      </c>
      <c r="C15" s="16" t="s">
        <v>9</v>
      </c>
      <c r="D15" s="16" t="s">
        <v>10</v>
      </c>
      <c r="E15" s="16" t="s">
        <v>15</v>
      </c>
    </row>
    <row r="16" spans="1:5" x14ac:dyDescent="0.3">
      <c r="B16" s="16" t="s">
        <v>11</v>
      </c>
      <c r="C16" s="16">
        <v>55000</v>
      </c>
      <c r="D16" s="16">
        <v>95</v>
      </c>
      <c r="E16" s="16" t="str">
        <f>IF(AND($C16&gt;40000,$D16&gt;=90),"yes","no")</f>
        <v>yes</v>
      </c>
    </row>
    <row r="17" spans="1:5" x14ac:dyDescent="0.3">
      <c r="B17" s="16" t="s">
        <v>12</v>
      </c>
      <c r="C17" s="16">
        <v>65000</v>
      </c>
      <c r="D17" s="16">
        <v>85</v>
      </c>
      <c r="E17" s="16" t="str">
        <f t="shared" ref="E17:E19" si="1">IF(AND($C17&gt;40000,$D17&gt;=90),"yes","no")</f>
        <v>no</v>
      </c>
    </row>
    <row r="18" spans="1:5" x14ac:dyDescent="0.3">
      <c r="B18" s="16" t="s">
        <v>13</v>
      </c>
      <c r="C18" s="16">
        <v>30000</v>
      </c>
      <c r="D18" s="16">
        <v>90</v>
      </c>
      <c r="E18" s="16" t="str">
        <f t="shared" si="1"/>
        <v>no</v>
      </c>
    </row>
    <row r="19" spans="1:5" x14ac:dyDescent="0.3">
      <c r="B19" s="16" t="s">
        <v>14</v>
      </c>
      <c r="C19" s="16">
        <v>25000</v>
      </c>
      <c r="D19" s="16">
        <v>65</v>
      </c>
      <c r="E19" s="16" t="str">
        <f t="shared" si="1"/>
        <v>no</v>
      </c>
    </row>
    <row r="22" spans="1:5" x14ac:dyDescent="0.3">
      <c r="A22" t="s">
        <v>54</v>
      </c>
      <c r="B22" t="s">
        <v>52</v>
      </c>
    </row>
    <row r="23" spans="1:5" x14ac:dyDescent="0.3">
      <c r="B23" t="s">
        <v>53</v>
      </c>
    </row>
    <row r="25" spans="1:5" x14ac:dyDescent="0.3">
      <c r="A25" t="s">
        <v>55</v>
      </c>
      <c r="B25" s="17" t="s">
        <v>0</v>
      </c>
      <c r="C25" s="17" t="s">
        <v>1</v>
      </c>
      <c r="D25" s="16" t="s">
        <v>21</v>
      </c>
    </row>
    <row r="26" spans="1:5" x14ac:dyDescent="0.3">
      <c r="B26" s="17" t="s">
        <v>16</v>
      </c>
      <c r="C26" s="17">
        <v>85</v>
      </c>
      <c r="D26" s="16" t="str" cm="1">
        <f t="array" ref="D26">IF($C26&gt;90,"A",IF($C26&gt;75,"B",IF($C26&gt;50,"C",FAIL)))</f>
        <v>B</v>
      </c>
    </row>
    <row r="27" spans="1:5" x14ac:dyDescent="0.3">
      <c r="B27" s="17" t="s">
        <v>17</v>
      </c>
      <c r="C27" s="17">
        <v>96</v>
      </c>
      <c r="D27" s="16" t="str" cm="1">
        <f t="array" ref="D27">IF($C27&gt;90,"A",IF($C27&gt;75,"B",IF($C27&gt;50,"C",FAIL)))</f>
        <v>A</v>
      </c>
    </row>
    <row r="28" spans="1:5" x14ac:dyDescent="0.3">
      <c r="B28" s="17" t="s">
        <v>18</v>
      </c>
      <c r="C28" s="17">
        <v>57</v>
      </c>
      <c r="D28" s="16" t="str" cm="1">
        <f t="array" ref="D28">IF($C28&gt;90,"A",IF($C28&gt;75,"B",IF($C28&gt;50,"C",FAIL)))</f>
        <v>C</v>
      </c>
    </row>
    <row r="29" spans="1:5" x14ac:dyDescent="0.3">
      <c r="B29" s="17" t="s">
        <v>19</v>
      </c>
      <c r="C29" s="17">
        <v>92</v>
      </c>
      <c r="D29" s="16" t="str" cm="1">
        <f t="array" ref="D29">IF($C29&gt;90,"A",IF($C29&gt;75,"B",IF($C29&gt;50,"C",FAIL)))</f>
        <v>A</v>
      </c>
    </row>
    <row r="30" spans="1:5" x14ac:dyDescent="0.3">
      <c r="B30" s="17" t="s">
        <v>20</v>
      </c>
      <c r="C30" s="17">
        <v>75</v>
      </c>
      <c r="D30" s="16" t="str" cm="1">
        <f t="array" ref="D30">IF($C30&gt;90,"A",IF($C30&gt;75,"B",IF($C30&gt;50,"C",FAIL)))</f>
        <v>C</v>
      </c>
    </row>
    <row r="33" spans="1:4" x14ac:dyDescent="0.3">
      <c r="A33" t="s">
        <v>56</v>
      </c>
      <c r="B33" t="s">
        <v>57</v>
      </c>
    </row>
    <row r="34" spans="1:4" ht="15" thickBot="1" x14ac:dyDescent="0.35"/>
    <row r="35" spans="1:4" ht="15" thickBot="1" x14ac:dyDescent="0.35">
      <c r="B35" s="2" t="s">
        <v>22</v>
      </c>
      <c r="C35" s="2" t="s">
        <v>23</v>
      </c>
      <c r="D35" s="7" t="s">
        <v>24</v>
      </c>
    </row>
    <row r="36" spans="1:4" ht="15" thickBot="1" x14ac:dyDescent="0.35">
      <c r="B36" s="3" t="s">
        <v>25</v>
      </c>
      <c r="C36" s="3" t="s">
        <v>4</v>
      </c>
      <c r="D36" s="3" t="s">
        <v>26</v>
      </c>
    </row>
    <row r="37" spans="1:4" ht="15" thickBot="1" x14ac:dyDescent="0.35">
      <c r="B37" s="3" t="s">
        <v>27</v>
      </c>
      <c r="C37" s="3" t="s">
        <v>2</v>
      </c>
      <c r="D37" s="3" t="s">
        <v>28</v>
      </c>
    </row>
    <row r="38" spans="1:4" ht="15" thickBot="1" x14ac:dyDescent="0.35">
      <c r="B38" s="3" t="s">
        <v>29</v>
      </c>
      <c r="C38" s="3" t="s">
        <v>30</v>
      </c>
      <c r="D38" s="6" t="s">
        <v>31</v>
      </c>
    </row>
    <row r="39" spans="1:4" ht="15" thickBot="1" x14ac:dyDescent="0.35">
      <c r="B39" s="3" t="s">
        <v>32</v>
      </c>
      <c r="C39" s="3" t="s">
        <v>33</v>
      </c>
      <c r="D39" s="3" t="s">
        <v>9</v>
      </c>
    </row>
    <row r="41" spans="1:4" x14ac:dyDescent="0.3">
      <c r="A41" t="s">
        <v>55</v>
      </c>
      <c r="C41" s="1" t="str">
        <f>VLOOKUP("E103",B35:D39,3,FALSE)</f>
        <v>Finance</v>
      </c>
    </row>
    <row r="44" spans="1:4" x14ac:dyDescent="0.3">
      <c r="A44" t="s">
        <v>58</v>
      </c>
      <c r="B44" t="s">
        <v>59</v>
      </c>
    </row>
    <row r="45" spans="1:4" x14ac:dyDescent="0.3">
      <c r="B45" t="s">
        <v>60</v>
      </c>
    </row>
    <row r="46" spans="1:4" ht="15" thickBot="1" x14ac:dyDescent="0.35"/>
    <row r="47" spans="1:4" ht="15" thickBot="1" x14ac:dyDescent="0.35">
      <c r="B47" s="8" t="s">
        <v>34</v>
      </c>
      <c r="C47" s="8" t="s">
        <v>35</v>
      </c>
    </row>
    <row r="48" spans="1:4" ht="15" thickBot="1" x14ac:dyDescent="0.35">
      <c r="B48" s="11">
        <v>0</v>
      </c>
      <c r="C48" s="12">
        <v>0.05</v>
      </c>
    </row>
    <row r="49" spans="1:5" ht="15" thickBot="1" x14ac:dyDescent="0.35">
      <c r="B49" s="11">
        <v>20000</v>
      </c>
      <c r="C49" s="12">
        <v>0.1</v>
      </c>
    </row>
    <row r="50" spans="1:5" ht="15" thickBot="1" x14ac:dyDescent="0.35">
      <c r="B50" s="11">
        <v>50000</v>
      </c>
      <c r="C50" s="12">
        <v>0.15</v>
      </c>
    </row>
    <row r="51" spans="1:5" ht="15" thickBot="1" x14ac:dyDescent="0.35">
      <c r="B51" s="11">
        <v>80000</v>
      </c>
      <c r="C51" s="12">
        <v>0.2</v>
      </c>
    </row>
    <row r="53" spans="1:5" x14ac:dyDescent="0.3">
      <c r="A53" t="s">
        <v>55</v>
      </c>
      <c r="B53" s="9">
        <v>45000</v>
      </c>
      <c r="C53" s="10">
        <f>VLOOKUP(B53,B47:C51,2,1)</f>
        <v>0.1</v>
      </c>
    </row>
    <row r="56" spans="1:5" x14ac:dyDescent="0.3">
      <c r="A56" t="s">
        <v>61</v>
      </c>
      <c r="B56" t="s">
        <v>62</v>
      </c>
    </row>
    <row r="57" spans="1:5" x14ac:dyDescent="0.3">
      <c r="B57" t="s">
        <v>63</v>
      </c>
    </row>
    <row r="58" spans="1:5" x14ac:dyDescent="0.3">
      <c r="B58" t="s">
        <v>64</v>
      </c>
    </row>
    <row r="59" spans="1:5" x14ac:dyDescent="0.3">
      <c r="B59" t="s">
        <v>65</v>
      </c>
    </row>
    <row r="61" spans="1:5" ht="21" x14ac:dyDescent="0.4">
      <c r="A61" t="s">
        <v>55</v>
      </c>
      <c r="B61" s="13" t="s">
        <v>36</v>
      </c>
      <c r="C61" s="13" t="s">
        <v>37</v>
      </c>
      <c r="D61" s="13" t="s">
        <v>38</v>
      </c>
      <c r="E61" s="14" t="s">
        <v>42</v>
      </c>
    </row>
    <row r="62" spans="1:5" x14ac:dyDescent="0.3">
      <c r="B62" s="15" t="s">
        <v>39</v>
      </c>
      <c r="C62" s="15">
        <v>10</v>
      </c>
      <c r="D62" s="15">
        <v>12</v>
      </c>
      <c r="E62" s="16" t="str">
        <f>IF($C62&gt;$D62,"Exceed","ok")</f>
        <v>ok</v>
      </c>
    </row>
    <row r="63" spans="1:5" x14ac:dyDescent="0.3">
      <c r="B63" s="15" t="s">
        <v>40</v>
      </c>
      <c r="C63" s="15">
        <v>15</v>
      </c>
      <c r="D63" s="15">
        <v>10</v>
      </c>
      <c r="E63" s="16" t="str">
        <f t="shared" ref="E63:E64" si="2">IF($C63&gt;$D63,"Exceed","ok")</f>
        <v>Exceed</v>
      </c>
    </row>
    <row r="64" spans="1:5" x14ac:dyDescent="0.3">
      <c r="B64" s="15" t="s">
        <v>41</v>
      </c>
      <c r="C64" s="15">
        <v>8</v>
      </c>
      <c r="D64" s="15">
        <v>12</v>
      </c>
      <c r="E64" s="16" t="str">
        <f t="shared" si="2"/>
        <v>ok</v>
      </c>
    </row>
    <row r="67" spans="1:4" x14ac:dyDescent="0.3">
      <c r="A67" t="s">
        <v>66</v>
      </c>
      <c r="B67" t="s">
        <v>67</v>
      </c>
    </row>
    <row r="68" spans="1:4" ht="15" thickBot="1" x14ac:dyDescent="0.35"/>
    <row r="69" spans="1:4" ht="15" thickBot="1" x14ac:dyDescent="0.35">
      <c r="B69" s="18" t="s">
        <v>22</v>
      </c>
      <c r="C69" s="18" t="s">
        <v>43</v>
      </c>
    </row>
    <row r="70" spans="1:4" ht="15" thickBot="1" x14ac:dyDescent="0.35">
      <c r="B70" s="19" t="s">
        <v>32</v>
      </c>
      <c r="C70" s="19">
        <v>55000</v>
      </c>
    </row>
    <row r="71" spans="1:4" ht="15" thickBot="1" x14ac:dyDescent="0.35">
      <c r="B71" s="19" t="s">
        <v>44</v>
      </c>
      <c r="C71" s="19">
        <v>72000</v>
      </c>
    </row>
    <row r="72" spans="1:4" ht="15" thickBot="1" x14ac:dyDescent="0.35">
      <c r="B72" s="19" t="s">
        <v>45</v>
      </c>
      <c r="C72" s="19">
        <v>62000</v>
      </c>
    </row>
    <row r="73" spans="1:4" ht="15" thickBot="1" x14ac:dyDescent="0.35">
      <c r="B73" s="19" t="s">
        <v>27</v>
      </c>
      <c r="C73" s="19">
        <v>41000</v>
      </c>
    </row>
    <row r="75" spans="1:4" x14ac:dyDescent="0.3">
      <c r="A75" t="s">
        <v>55</v>
      </c>
      <c r="C75" t="s">
        <v>44</v>
      </c>
      <c r="D75">
        <f>MATCH(C75,B69:B73,0)</f>
        <v>3</v>
      </c>
    </row>
    <row r="76" spans="1:4" x14ac:dyDescent="0.3">
      <c r="D76">
        <f>INDEX(C69:C73,3)</f>
        <v>72000</v>
      </c>
    </row>
    <row r="79" spans="1:4" x14ac:dyDescent="0.3">
      <c r="A79" t="s">
        <v>68</v>
      </c>
      <c r="B79" t="s">
        <v>69</v>
      </c>
    </row>
    <row r="80" spans="1:4" ht="15" thickBot="1" x14ac:dyDescent="0.35"/>
    <row r="81" spans="1:3" ht="15" thickBot="1" x14ac:dyDescent="0.35">
      <c r="B81" s="18" t="s">
        <v>22</v>
      </c>
      <c r="C81" s="18" t="s">
        <v>24</v>
      </c>
    </row>
    <row r="82" spans="1:3" ht="15" thickBot="1" x14ac:dyDescent="0.35">
      <c r="B82" s="19" t="s">
        <v>25</v>
      </c>
      <c r="C82" s="19" t="s">
        <v>28</v>
      </c>
    </row>
    <row r="83" spans="1:3" ht="15" thickBot="1" x14ac:dyDescent="0.35">
      <c r="B83" s="19" t="s">
        <v>46</v>
      </c>
      <c r="C83" s="19" t="s">
        <v>26</v>
      </c>
    </row>
    <row r="84" spans="1:3" ht="15" thickBot="1" x14ac:dyDescent="0.35">
      <c r="B84" s="19" t="s">
        <v>45</v>
      </c>
      <c r="C84" s="19" t="s">
        <v>9</v>
      </c>
    </row>
    <row r="85" spans="1:3" ht="15" thickBot="1" x14ac:dyDescent="0.35">
      <c r="B85" s="19" t="s">
        <v>47</v>
      </c>
      <c r="C85" s="19" t="s">
        <v>31</v>
      </c>
    </row>
    <row r="87" spans="1:3" x14ac:dyDescent="0.3">
      <c r="A87" t="s">
        <v>55</v>
      </c>
      <c r="B87" s="4" t="s">
        <v>46</v>
      </c>
      <c r="C87" t="str">
        <f>_xlfn.XLOOKUP(B87,B82:B85,C82:C85,0)</f>
        <v>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Archit Baghel</cp:lastModifiedBy>
  <dcterms:created xsi:type="dcterms:W3CDTF">2025-12-12T17:32:27Z</dcterms:created>
  <dcterms:modified xsi:type="dcterms:W3CDTF">2025-12-17T06:15:46Z</dcterms:modified>
</cp:coreProperties>
</file>