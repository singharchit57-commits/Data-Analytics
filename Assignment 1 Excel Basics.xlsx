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ED73AC1-1835-4E11-95E1-3B310DEF71A9}" xr6:coauthVersionLast="47" xr6:coauthVersionMax="47" xr10:uidLastSave="{00000000-0000-0000-0000-000000000000}"/>
  <bookViews>
    <workbookView xWindow="-108" yWindow="-108" windowWidth="23256" windowHeight="12456" xr2:uid="{7A072F15-A620-4201-8B73-327A27EAFAF4}"/>
  </bookViews>
  <sheets>
    <sheet name="Sheet1" sheetId="1" r:id="rId1"/>
    <sheet name="Sheet2" sheetId="2" r:id="rId2"/>
  </sheets>
  <definedNames>
    <definedName name="_xlnm._FilterDatabase" localSheetId="1" hidden="1">Sheet2!$A$1:$H$51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2" i="2"/>
  <c r="L9" i="2" s="1"/>
  <c r="L3" i="2"/>
  <c r="G3" i="1"/>
  <c r="C58" i="2" l="1"/>
  <c r="C59" i="2"/>
  <c r="C60" i="2"/>
  <c r="C57" i="2"/>
  <c r="C56" i="2"/>
  <c r="L6" i="2"/>
</calcChain>
</file>

<file path=xl/sharedStrings.xml><?xml version="1.0" encoding="utf-8"?>
<sst xmlns="http://schemas.openxmlformats.org/spreadsheetml/2006/main" count="213" uniqueCount="115">
  <si>
    <t>Vehicle</t>
  </si>
  <si>
    <t>Car</t>
  </si>
  <si>
    <t>Bike</t>
  </si>
  <si>
    <t>Auto-Riksha</t>
  </si>
  <si>
    <t>Price</t>
  </si>
  <si>
    <t>2.Write a formula to calculate the total sales of Car and Bicyle only only.</t>
  </si>
  <si>
    <t>Sales</t>
  </si>
  <si>
    <t>Item</t>
  </si>
  <si>
    <t xml:space="preserve"> Item A</t>
  </si>
  <si>
    <t xml:space="preserve"> Item B</t>
  </si>
  <si>
    <t xml:space="preserve"> Item C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</si>
  <si>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</si>
  <si>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</si>
  <si>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</si>
  <si>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</si>
  <si>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</si>
  <si>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</si>
  <si>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</si>
  <si>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</si>
  <si>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</si>
  <si>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</si>
  <si>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</si>
  <si>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</si>
  <si>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</si>
  <si>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</si>
  <si>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</si>
  <si>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</si>
  <si>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</si>
  <si>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</si>
  <si>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</si>
  <si>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</si>
  <si>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</si>
  <si>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</si>
  <si>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</si>
  <si>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</si>
  <si>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</si>
  <si>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</si>
  <si>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</si>
  <si>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</si>
  <si>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</si>
  <si>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</si>
  <si>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</si>
  <si>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</si>
  <si>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</si>
  <si>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</si>
  <si>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</si>
  <si>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</si>
  <si>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</si>
  <si>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</si>
  <si>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</si>
  <si>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</si>
  <si>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</si>
  <si>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</si>
  <si>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</si>
  <si>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</si>
  <si>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</si>
  <si>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</si>
  <si>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</si>
  <si>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</si>
  <si>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</si>
  <si>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</si>
  <si>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</si>
  <si>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</si>
  <si>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</si>
  <si>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</si>
  <si>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</si>
  <si>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</si>
  <si>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</si>
  <si>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</si>
  <si>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</si>
  <si>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</si>
  <si>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</si>
  <si>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</si>
  <si>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</si>
  <si>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</si>
  <si>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</si>
  <si>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</si>
  <si>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</si>
  <si>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</si>
  <si>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</si>
  <si>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</si>
  <si>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</si>
  <si>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</si>
  <si>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</si>
  <si>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</si>
  <si>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</si>
  <si>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</si>
  <si>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</si>
  <si>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</si>
  <si>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</si>
  <si>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</si>
  <si>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</si>
  <si>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</si>
  <si>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</si>
  <si>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</si>
  <si>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</si>
  <si>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</si>
  <si>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</si>
  <si>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</si>
  <si>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</si>
  <si>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</si>
  <si>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</si>
  <si>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</si>
  <si>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4.Count how many customer names are recorded</t>
  </si>
  <si>
    <t>5.Calculate the Total Sales for each row using a formula</t>
  </si>
  <si>
    <t>Total Sales</t>
  </si>
  <si>
    <t>6. Calculate the total sales of Notebooks in the North region only</t>
  </si>
  <si>
    <t>7. Create a column chart showing total sales by product.</t>
  </si>
  <si>
    <t>8.Insert a line chart showing daily sales trend.</t>
  </si>
  <si>
    <t>3.Using the data below, write a formula to calculate the average sales of items priced above 100 but less than 300</t>
  </si>
  <si>
    <r>
      <t xml:space="preserve">A </t>
    </r>
    <r>
      <rPr>
        <b/>
        <sz val="11"/>
        <color theme="1"/>
        <rFont val="Aptos Narrow"/>
        <family val="2"/>
        <scheme val="minor"/>
      </rPr>
      <t>relative reference</t>
    </r>
    <r>
      <rPr>
        <sz val="11"/>
        <color theme="1"/>
        <rFont val="Aptos Narrow"/>
        <family val="2"/>
        <scheme val="minor"/>
      </rPr>
      <t xml:space="preserve"> change when copied to another cell.</t>
    </r>
  </si>
  <si>
    <r>
      <t xml:space="preserve">An </t>
    </r>
    <r>
      <rPr>
        <b/>
        <sz val="11"/>
        <color theme="1"/>
        <rFont val="Aptos Narrow"/>
        <family val="2"/>
        <scheme val="minor"/>
      </rPr>
      <t>absolute reference</t>
    </r>
    <r>
      <rPr>
        <sz val="11"/>
        <color theme="1"/>
        <rFont val="Aptos Narrow"/>
        <family val="2"/>
        <scheme val="minor"/>
      </rPr>
      <t xml:space="preserve"> does not change when copied.</t>
    </r>
  </si>
  <si>
    <r>
      <t xml:space="preserve">A </t>
    </r>
    <r>
      <rPr>
        <b/>
        <sz val="11"/>
        <color theme="1"/>
        <rFont val="Aptos Narrow"/>
        <family val="2"/>
        <scheme val="minor"/>
      </rPr>
      <t xml:space="preserve">mixed reference </t>
    </r>
    <r>
      <rPr>
        <sz val="11"/>
        <color theme="1"/>
        <rFont val="Aptos Narrow"/>
        <family val="2"/>
        <scheme val="minor"/>
      </rPr>
      <t>locks either the row or the column, but not both</t>
    </r>
  </si>
  <si>
    <t>1.Explain the difference between Relative , Absolute and Mixed Cell Referencing.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</si>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</sst>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wrapText="1"/>
    </xf>
    <xf numFmtId="0" fontId="1" fillId="0" borderId="3" xfId="0" applyFont="1" applyBorder="1"/>
    <xf numFmtId="0" fontId="0" fillId="0" borderId="3" xfId="0" applyBorder="1"/>
    <xf numFmtId="0" fontId="3" fillId="0" borderId="1" xfId="0" applyFont="1" applyFill="1" applyBorder="1" applyAlignment="1">
      <alignment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17672790901138E-2"/>
          <c:y val="0.19486111111111112"/>
          <c:w val="0.88736351706036742"/>
          <c:h val="0.72125801983085447"/>
        </c:manualLayout>
      </c:layout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Sheet2!$H$2:$H$51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4F-4AEF-8DFF-C87B828F469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710335744"/>
        <c:axId val="1710336704"/>
      </c:lineChart>
      <c:catAx>
        <c:axId val="17103357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336704"/>
        <c:crosses val="autoZero"/>
        <c:auto val="1"/>
        <c:lblAlgn val="ctr"/>
        <c:lblOffset val="100"/>
        <c:noMultiLvlLbl val="0"/>
      </c:catAx>
      <c:valAx>
        <c:axId val="171033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33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370270449884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67206383824362"/>
          <c:y val="0.15826765623726263"/>
          <c:w val="0.87764129483814524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Sheet2!$C$55</c:f>
              <c:strCache>
                <c:ptCount val="1"/>
                <c:pt idx="0">
                  <c:v>Total sales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Sheet2!$B$56:$B$60</c:f>
              <c:strCache>
                <c:ptCount val="5"/>
                <c:pt idx="0">
                  <c:v>Notebook</c:v>
                </c:pt>
                <c:pt idx="1">
                  <c:v>Pencil</c:v>
                </c:pt>
                <c:pt idx="2">
                  <c:v>Eraser</c:v>
                </c:pt>
                <c:pt idx="3">
                  <c:v>Pen</c:v>
                </c:pt>
                <c:pt idx="4">
                  <c:v>Marker</c:v>
                </c:pt>
              </c:strCache>
            </c:strRef>
          </c:cat>
          <c:val>
            <c:numRef>
              <c:f>Sheet2!$C$56:$C$60</c:f>
              <c:numCache>
                <c:formatCode>General</c:formatCode>
                <c:ptCount val="5"/>
                <c:pt idx="0">
                  <c:v>7550</c:v>
                </c:pt>
                <c:pt idx="1">
                  <c:v>1235</c:v>
                </c:pt>
                <c:pt idx="2">
                  <c:v>1928</c:v>
                </c:pt>
                <c:pt idx="3">
                  <c:v>2180</c:v>
                </c:pt>
                <c:pt idx="4">
                  <c:v>3650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1-48E1-89E3-76F8BF5C5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41851680"/>
        <c:axId val="41862240"/>
      </c:barChart>
      <c:catAx>
        <c:axId val="418516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62240"/>
        <c:crosses val="autoZero"/>
        <c:auto val="1"/>
        <c:lblAlgn val="ctr"/>
        <c:lblOffset val="100"/>
        <c:noMultiLvlLbl val="0"/>
      </c:catAx>
      <c:valAx>
        <c:axId val="418622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51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123824</xdr:colOff>
      <xdr:row>22</xdr:row>
      <xdr:rowOff>85725</xdr:rowOff>
    </xdr:from>
    <xdr:to>
      <xdr:col>12</xdr:col>
      <xdr:colOff>9525</xdr:colOff>
      <xdr:row>32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AC9AF0-9439-9A11-6065-2B98B2A2E2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</xdr:colOff>
      <xdr:row>11</xdr:row>
      <xdr:rowOff>161925</xdr:rowOff>
    </xdr:from>
    <xdr:to>
      <xdr:col>12</xdr:col>
      <xdr:colOff>0</xdr:colOff>
      <xdr:row>19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331FBC-C8CF-CF66-2A72-046B26E152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DDEFBE-DB78-42F4-918B-451C03D1D3E0}" name="Table1" displayName="Table1" ref="A1:B4" totalsRowShown="0" headerRowDxfId="0">
  <autoFilter ref="A1:B4" xr:uid="{3CDDEFBE-DB78-42F4-918B-451C03D1D3E0}"/>
  <tableColumns count="2">
    <tableColumn id="1" xr3:uid="{DCDDDD5C-02AB-4E98-BCF4-CC400E53E2A9}" name="Vehicle"/>
    <tableColumn id="2" xr3:uid="{BC41C4E5-87DB-4BFD-902B-6FE7020037B6}" name="Price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4BDDD-4FC0-4B23-8FA2-A66B21D0D014}">
  <dimension ref="A1:G20"/>
  <sheetViews>
    <sheetView tabSelected="1" workbookViewId="0">
      <selection activeCell="E1" sqref="E1:E1048576"/>
    </sheetView>
  </sheetViews>
  <sheetFormatPr defaultRowHeight="14.4" x14ac:dyDescent="0.3"/>
  <cols>
    <col min="1" max="1" width="11.6640625" bestFit="1" customWidth="1"/>
    <col min="7" max="7" width="70.88671875" customWidth="1"/>
  </cols>
  <sheetData>
    <row r="1" spans="1:7" x14ac:dyDescent="0.3">
      <c r="A1" s="1" t="s">
        <v>0</v>
      </c>
      <c r="B1" s="1" t="s">
        <v>4</v>
      </c>
    </row>
    <row r="2" spans="1:7" x14ac:dyDescent="0.3">
      <c r="A2" t="s">
        <v>1</v>
      </c>
      <c r="B2">
        <v>500000</v>
      </c>
      <c r="G2" s="9" t="s">
        <v>5</v>
      </c>
    </row>
    <row r="3" spans="1:7" x14ac:dyDescent="0.3">
      <c r="A3" t="s">
        <v>2</v>
      </c>
      <c r="B3">
        <v>10500</v>
      </c>
      <c r="G3" s="8">
        <f>B2+Table1[[#This Row],[Price]]</f>
        <v>510500</v>
      </c>
    </row>
    <row r="4" spans="1:7" x14ac:dyDescent="0.3">
      <c r="A4" t="s">
        <v>3</v>
      </c>
      <c r="B4">
        <v>25000</v>
      </c>
    </row>
    <row r="7" spans="1:7" ht="14.25" customHeight="1" x14ac:dyDescent="0.3"/>
    <row r="8" spans="1:7" ht="28.5" customHeight="1" x14ac:dyDescent="0.3">
      <c r="A8" s="1" t="s">
        <v>7</v>
      </c>
      <c r="B8" s="1" t="s">
        <v>4</v>
      </c>
      <c r="C8" s="1" t="s">
        <v>6</v>
      </c>
      <c r="G8" s="10" t="s">
        <v>109</v>
      </c>
    </row>
    <row r="9" spans="1:7" x14ac:dyDescent="0.3">
      <c r="A9" t="s">
        <v>8</v>
      </c>
      <c r="B9">
        <v>90</v>
      </c>
      <c r="C9">
        <v>1000</v>
      </c>
      <c r="G9" s="8">
        <f>AVERAGEIFS(C9:C11,B9:B11,"&gt;100",B9:B11,"&lt;300")</f>
        <v>1350</v>
      </c>
    </row>
    <row r="10" spans="1:7" x14ac:dyDescent="0.3">
      <c r="A10" t="s">
        <v>9</v>
      </c>
      <c r="B10">
        <v>150</v>
      </c>
      <c r="C10">
        <v>1200</v>
      </c>
    </row>
    <row r="11" spans="1:7" x14ac:dyDescent="0.3">
      <c r="A11" t="s">
        <v>10</v>
      </c>
      <c r="B11">
        <v>250</v>
      </c>
      <c r="C11">
        <v>1500</v>
      </c>
    </row>
    <row r="16" spans="1:7" ht="27.75" customHeight="1" x14ac:dyDescent="0.3">
      <c r="G16" s="9" t="s">
        <v>113</v>
      </c>
    </row>
    <row r="18" spans="7:7" x14ac:dyDescent="0.3">
      <c r="G18" s="8" t="s">
        <v>110</v>
      </c>
    </row>
    <row r="19" spans="7:7" x14ac:dyDescent="0.3">
      <c r="G19" s="8" t="s">
        <v>111</v>
      </c>
    </row>
    <row r="20" spans="7:7" x14ac:dyDescent="0.3">
      <c r="G20" s="8" t="s">
        <v>112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29E00-905B-4ACE-9CA0-828BF956550B}">
  <dimension ref="A1:AB60"/>
  <sheetViews>
    <sheetView topLeftCell="A37" workbookViewId="0">
      <selection activeCell="C4" sqref="C4"/>
    </sheetView>
  </sheetViews>
  <sheetFormatPr defaultRowHeight="14.4" x14ac:dyDescent="0.3"/>
  <cols>
    <col min="1" max="1" width="8" bestFit="1" customWidth="1"/>
    <col min="2" max="2" width="14.6640625" customWidth="1"/>
    <col min="3" max="3" width="10.5546875" bestFit="1" customWidth="1"/>
    <col min="4" max="4" width="11.5546875" customWidth="1"/>
    <col min="6" max="6" width="11" customWidth="1"/>
    <col min="7" max="7" width="13.44140625" customWidth="1"/>
    <col min="8" max="8" width="12.88671875" customWidth="1"/>
    <col min="12" max="12" width="58.109375" customWidth="1"/>
    <col min="27" max="27" width="9.88671875" bestFit="1" customWidth="1"/>
    <col min="28" max="28" width="11.33203125" customWidth="1"/>
  </cols>
  <sheetData>
    <row r="1" spans="1:28" ht="15" thickBot="1" x14ac:dyDescent="0.3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6" t="s">
        <v>105</v>
      </c>
      <c r="AA1" s="2"/>
      <c r="AB1" s="6"/>
    </row>
    <row r="2" spans="1:28" ht="21" customHeight="1" thickBot="1" x14ac:dyDescent="0.35">
      <c r="A2" s="3">
        <v>1001</v>
      </c>
      <c r="B2" s="4" t="s">
        <v>18</v>
      </c>
      <c r="C2" s="13" t="s">
        <v>19</v>
      </c>
      <c r="D2" s="13" t="s">
        <v>20</v>
      </c>
      <c r="E2" s="3">
        <v>10</v>
      </c>
      <c r="F2" s="3">
        <v>50</v>
      </c>
      <c r="G2" s="5">
        <v>45413</v>
      </c>
      <c r="H2" s="1">
        <f>E2*F2</f>
        <v>500</v>
      </c>
      <c r="L2" s="9" t="s">
        <v>103</v>
      </c>
      <c r="AA2" s="7"/>
      <c r="AB2" s="1"/>
    </row>
    <row r="3" spans="1:28" ht="15" thickBot="1" x14ac:dyDescent="0.35">
      <c r="A3" s="3">
        <v>1002</v>
      </c>
      <c r="B3" s="4" t="s">
        <v>21</v>
      </c>
      <c r="C3" s="4" t="s">
        <v>22</v>
      </c>
      <c r="D3" s="4" t="s">
        <v>23</v>
      </c>
      <c r="E3" s="3">
        <v>20</v>
      </c>
      <c r="F3" s="3">
        <v>10</v>
      </c>
      <c r="G3" s="5">
        <v>45444</v>
      </c>
      <c r="H3" s="1">
        <f t="shared" ref="H3:H51" si="0">E3*F3</f>
        <v>200</v>
      </c>
      <c r="L3" s="8">
        <f>COUNTA(B2:B51)</f>
        <v>50</v>
      </c>
      <c r="AA3" s="4"/>
      <c r="AB3" s="1"/>
    </row>
    <row r="4" spans="1:28" ht="15" thickBot="1" x14ac:dyDescent="0.35">
      <c r="A4" s="3">
        <v>1003</v>
      </c>
      <c r="B4" s="4" t="s">
        <v>24</v>
      </c>
      <c r="C4" s="4" t="s">
        <v>25</v>
      </c>
      <c r="D4" s="4" t="s">
        <v>26</v>
      </c>
      <c r="E4" s="3">
        <v>15</v>
      </c>
      <c r="F4" s="3">
        <v>25</v>
      </c>
      <c r="G4" s="5">
        <v>45474</v>
      </c>
      <c r="H4" s="1">
        <f t="shared" si="0"/>
        <v>375</v>
      </c>
      <c r="AA4" s="4"/>
      <c r="AB4" s="1"/>
    </row>
    <row r="5" spans="1:28" ht="19.5" customHeight="1" thickBot="1" x14ac:dyDescent="0.35">
      <c r="A5" s="3">
        <v>1004</v>
      </c>
      <c r="B5" s="4" t="s">
        <v>27</v>
      </c>
      <c r="C5" s="4" t="s">
        <v>28</v>
      </c>
      <c r="D5" s="4" t="s">
        <v>20</v>
      </c>
      <c r="E5" s="3">
        <v>5</v>
      </c>
      <c r="F5" s="3">
        <v>50</v>
      </c>
      <c r="G5" s="5">
        <v>45505</v>
      </c>
      <c r="H5" s="1">
        <f t="shared" si="0"/>
        <v>250</v>
      </c>
      <c r="L5" s="9" t="s">
        <v>104</v>
      </c>
      <c r="AA5" s="4"/>
      <c r="AB5" s="1"/>
    </row>
    <row r="6" spans="1:28" ht="15" thickBot="1" x14ac:dyDescent="0.35">
      <c r="A6" s="3">
        <v>1005</v>
      </c>
      <c r="B6" s="4" t="s">
        <v>29</v>
      </c>
      <c r="C6" s="4" t="s">
        <v>19</v>
      </c>
      <c r="D6" s="4" t="s">
        <v>30</v>
      </c>
      <c r="E6" s="3">
        <v>30</v>
      </c>
      <c r="F6" s="3">
        <v>5</v>
      </c>
      <c r="G6" s="5">
        <v>45566</v>
      </c>
      <c r="H6" s="1">
        <f t="shared" si="0"/>
        <v>150</v>
      </c>
      <c r="L6" s="8">
        <f>SUM(H2:H51)</f>
        <v>16543</v>
      </c>
      <c r="AA6" s="4"/>
      <c r="AB6" s="1"/>
    </row>
    <row r="7" spans="1:28" ht="16.5" customHeight="1" thickBot="1" x14ac:dyDescent="0.35">
      <c r="A7" s="3">
        <v>1006</v>
      </c>
      <c r="B7" s="4" t="s">
        <v>31</v>
      </c>
      <c r="C7" s="4" t="s">
        <v>22</v>
      </c>
      <c r="D7" s="4" t="s">
        <v>20</v>
      </c>
      <c r="E7" s="3">
        <v>12</v>
      </c>
      <c r="F7" s="3">
        <v>50</v>
      </c>
      <c r="G7" s="5">
        <v>45597</v>
      </c>
      <c r="H7" s="1">
        <f t="shared" si="0"/>
        <v>600</v>
      </c>
      <c r="AA7" s="4"/>
      <c r="AB7" s="1"/>
    </row>
    <row r="8" spans="1:28" ht="15" thickBot="1" x14ac:dyDescent="0.35">
      <c r="A8" s="3">
        <v>1007</v>
      </c>
      <c r="B8" s="4" t="s">
        <v>32</v>
      </c>
      <c r="C8" s="4" t="s">
        <v>25</v>
      </c>
      <c r="D8" s="4" t="s">
        <v>33</v>
      </c>
      <c r="E8" s="3">
        <v>25</v>
      </c>
      <c r="F8" s="3">
        <v>8</v>
      </c>
      <c r="G8" s="3" t="s">
        <v>34</v>
      </c>
      <c r="H8" s="1">
        <f t="shared" si="0"/>
        <v>200</v>
      </c>
      <c r="L8" s="9" t="s">
        <v>106</v>
      </c>
      <c r="AA8" s="4"/>
      <c r="AB8" s="1"/>
    </row>
    <row r="9" spans="1:28" ht="15" thickBot="1" x14ac:dyDescent="0.35">
      <c r="A9" s="3">
        <v>1008</v>
      </c>
      <c r="B9" s="4" t="s">
        <v>35</v>
      </c>
      <c r="C9" s="4" t="s">
        <v>28</v>
      </c>
      <c r="D9" s="4" t="s">
        <v>23</v>
      </c>
      <c r="E9" s="3">
        <v>18</v>
      </c>
      <c r="F9" s="3">
        <v>10</v>
      </c>
      <c r="G9" s="3" t="s">
        <v>36</v>
      </c>
      <c r="H9" s="1">
        <f t="shared" si="0"/>
        <v>180</v>
      </c>
      <c r="L9" s="8">
        <f>SUMIFS(H2:H51,D2:D51,"Notebook",C2:C51,"North")</f>
        <v>2900</v>
      </c>
      <c r="AA9" s="4"/>
      <c r="AB9" s="1"/>
    </row>
    <row r="10" spans="1:28" ht="15" thickBot="1" x14ac:dyDescent="0.35">
      <c r="A10" s="3">
        <v>1009</v>
      </c>
      <c r="B10" s="4" t="s">
        <v>37</v>
      </c>
      <c r="C10" s="4" t="s">
        <v>19</v>
      </c>
      <c r="D10" s="4" t="s">
        <v>26</v>
      </c>
      <c r="E10" s="3">
        <v>22</v>
      </c>
      <c r="F10" s="3">
        <v>25</v>
      </c>
      <c r="G10" s="3" t="s">
        <v>38</v>
      </c>
      <c r="H10" s="1">
        <f t="shared" si="0"/>
        <v>550</v>
      </c>
      <c r="AA10" s="4"/>
      <c r="AB10" s="1"/>
    </row>
    <row r="11" spans="1:28" ht="19.5" customHeight="1" thickBot="1" x14ac:dyDescent="0.35">
      <c r="A11" s="3">
        <v>1010</v>
      </c>
      <c r="B11" s="4" t="s">
        <v>39</v>
      </c>
      <c r="C11" s="4" t="s">
        <v>22</v>
      </c>
      <c r="D11" s="4" t="s">
        <v>20</v>
      </c>
      <c r="E11" s="3">
        <v>8</v>
      </c>
      <c r="F11" s="3">
        <v>50</v>
      </c>
      <c r="G11" s="3" t="s">
        <v>40</v>
      </c>
      <c r="H11" s="1">
        <f t="shared" si="0"/>
        <v>400</v>
      </c>
      <c r="L11" s="9" t="s">
        <v>107</v>
      </c>
      <c r="AA11" s="4"/>
      <c r="AB11" s="1"/>
    </row>
    <row r="12" spans="1:28" ht="15" thickBot="1" x14ac:dyDescent="0.35">
      <c r="A12" s="3">
        <v>1011</v>
      </c>
      <c r="B12" s="4" t="s">
        <v>41</v>
      </c>
      <c r="C12" s="4" t="s">
        <v>25</v>
      </c>
      <c r="D12" s="4" t="s">
        <v>30</v>
      </c>
      <c r="E12" s="3">
        <v>40</v>
      </c>
      <c r="F12" s="3">
        <v>5</v>
      </c>
      <c r="G12" s="3" t="s">
        <v>42</v>
      </c>
      <c r="H12" s="1">
        <f t="shared" si="0"/>
        <v>200</v>
      </c>
      <c r="AA12" s="4"/>
      <c r="AB12" s="1"/>
    </row>
    <row r="13" spans="1:28" ht="15" thickBot="1" x14ac:dyDescent="0.35">
      <c r="A13" s="3">
        <v>1012</v>
      </c>
      <c r="B13" s="4" t="s">
        <v>43</v>
      </c>
      <c r="C13" s="4" t="s">
        <v>28</v>
      </c>
      <c r="D13" s="4" t="s">
        <v>33</v>
      </c>
      <c r="E13" s="3">
        <v>35</v>
      </c>
      <c r="F13" s="3">
        <v>8</v>
      </c>
      <c r="G13" s="3" t="s">
        <v>44</v>
      </c>
      <c r="H13" s="1">
        <f t="shared" si="0"/>
        <v>280</v>
      </c>
      <c r="AA13" s="4"/>
      <c r="AB13" s="1"/>
    </row>
    <row r="14" spans="1:28" ht="21" customHeight="1" thickBot="1" x14ac:dyDescent="0.35">
      <c r="A14" s="3">
        <v>1013</v>
      </c>
      <c r="B14" s="4" t="s">
        <v>45</v>
      </c>
      <c r="C14" s="13" t="s">
        <v>19</v>
      </c>
      <c r="D14" s="13" t="s">
        <v>20</v>
      </c>
      <c r="E14" s="3">
        <v>14</v>
      </c>
      <c r="F14" s="3">
        <v>50</v>
      </c>
      <c r="G14" s="3" t="s">
        <v>46</v>
      </c>
      <c r="H14" s="1">
        <f t="shared" si="0"/>
        <v>700</v>
      </c>
      <c r="AA14" s="7"/>
      <c r="AB14" s="1"/>
    </row>
    <row r="15" spans="1:28" ht="15" thickBot="1" x14ac:dyDescent="0.35">
      <c r="A15" s="3">
        <v>1014</v>
      </c>
      <c r="B15" s="4" t="s">
        <v>47</v>
      </c>
      <c r="C15" s="4" t="s">
        <v>22</v>
      </c>
      <c r="D15" s="4" t="s">
        <v>23</v>
      </c>
      <c r="E15" s="3">
        <v>28</v>
      </c>
      <c r="F15" s="3">
        <v>10</v>
      </c>
      <c r="G15" s="3" t="s">
        <v>48</v>
      </c>
      <c r="H15" s="1">
        <f t="shared" si="0"/>
        <v>280</v>
      </c>
      <c r="AA15" s="4"/>
      <c r="AB15" s="1"/>
    </row>
    <row r="16" spans="1:28" ht="15" thickBot="1" x14ac:dyDescent="0.35">
      <c r="A16" s="3">
        <v>1015</v>
      </c>
      <c r="B16" s="4" t="s">
        <v>49</v>
      </c>
      <c r="C16" s="4" t="s">
        <v>25</v>
      </c>
      <c r="D16" s="4" t="s">
        <v>26</v>
      </c>
      <c r="E16" s="3">
        <v>12</v>
      </c>
      <c r="F16" s="3">
        <v>25</v>
      </c>
      <c r="G16" s="3" t="s">
        <v>50</v>
      </c>
      <c r="H16" s="1">
        <f t="shared" si="0"/>
        <v>300</v>
      </c>
      <c r="AA16" s="4"/>
      <c r="AB16" s="1"/>
    </row>
    <row r="17" spans="1:28" ht="15" thickBot="1" x14ac:dyDescent="0.35">
      <c r="A17" s="3">
        <v>1016</v>
      </c>
      <c r="B17" s="4" t="s">
        <v>51</v>
      </c>
      <c r="C17" s="4" t="s">
        <v>28</v>
      </c>
      <c r="D17" s="4" t="s">
        <v>30</v>
      </c>
      <c r="E17" s="3">
        <v>25</v>
      </c>
      <c r="F17" s="3">
        <v>5</v>
      </c>
      <c r="G17" s="3" t="s">
        <v>52</v>
      </c>
      <c r="H17" s="1">
        <f t="shared" si="0"/>
        <v>125</v>
      </c>
      <c r="AA17" s="4"/>
      <c r="AB17" s="1"/>
    </row>
    <row r="18" spans="1:28" ht="15" thickBot="1" x14ac:dyDescent="0.35">
      <c r="A18" s="3">
        <v>1017</v>
      </c>
      <c r="B18" s="4" t="s">
        <v>53</v>
      </c>
      <c r="C18" s="4" t="s">
        <v>19</v>
      </c>
      <c r="D18" s="4" t="s">
        <v>33</v>
      </c>
      <c r="E18" s="3">
        <v>20</v>
      </c>
      <c r="F18" s="3">
        <v>8</v>
      </c>
      <c r="G18" s="3" t="s">
        <v>54</v>
      </c>
      <c r="H18" s="1">
        <f t="shared" si="0"/>
        <v>160</v>
      </c>
      <c r="AA18" s="4"/>
      <c r="AB18" s="1"/>
    </row>
    <row r="19" spans="1:28" ht="21" customHeight="1" thickBot="1" x14ac:dyDescent="0.35">
      <c r="A19" s="3">
        <v>1018</v>
      </c>
      <c r="B19" s="4" t="s">
        <v>55</v>
      </c>
      <c r="C19" s="4" t="s">
        <v>22</v>
      </c>
      <c r="D19" s="4" t="s">
        <v>20</v>
      </c>
      <c r="E19" s="3">
        <v>10</v>
      </c>
      <c r="F19" s="3">
        <v>50</v>
      </c>
      <c r="G19" s="3" t="s">
        <v>56</v>
      </c>
      <c r="H19" s="1">
        <f t="shared" si="0"/>
        <v>500</v>
      </c>
      <c r="AA19" s="4"/>
      <c r="AB19" s="1"/>
    </row>
    <row r="20" spans="1:28" ht="15" thickBot="1" x14ac:dyDescent="0.35">
      <c r="A20" s="3">
        <v>1019</v>
      </c>
      <c r="B20" s="4" t="s">
        <v>57</v>
      </c>
      <c r="C20" s="4" t="s">
        <v>25</v>
      </c>
      <c r="D20" s="4" t="s">
        <v>23</v>
      </c>
      <c r="E20" s="3">
        <v>15</v>
      </c>
      <c r="F20" s="3">
        <v>10</v>
      </c>
      <c r="G20" s="3" t="s">
        <v>58</v>
      </c>
      <c r="H20" s="1">
        <f t="shared" si="0"/>
        <v>150</v>
      </c>
      <c r="AA20" s="4"/>
      <c r="AB20" s="1"/>
    </row>
    <row r="21" spans="1:28" ht="15" thickBot="1" x14ac:dyDescent="0.35">
      <c r="A21" s="3">
        <v>1020</v>
      </c>
      <c r="B21" s="4" t="s">
        <v>59</v>
      </c>
      <c r="C21" s="4" t="s">
        <v>28</v>
      </c>
      <c r="D21" s="4" t="s">
        <v>26</v>
      </c>
      <c r="E21" s="3">
        <v>18</v>
      </c>
      <c r="F21" s="3">
        <v>25</v>
      </c>
      <c r="G21" s="5">
        <v>45293</v>
      </c>
      <c r="H21" s="1">
        <f t="shared" si="0"/>
        <v>450</v>
      </c>
      <c r="L21" s="9" t="s">
        <v>108</v>
      </c>
      <c r="AA21" s="4"/>
      <c r="AB21" s="1"/>
    </row>
    <row r="22" spans="1:28" ht="20.25" customHeight="1" thickBot="1" x14ac:dyDescent="0.35">
      <c r="A22" s="3">
        <v>1021</v>
      </c>
      <c r="B22" s="4" t="s">
        <v>60</v>
      </c>
      <c r="C22" s="13" t="s">
        <v>19</v>
      </c>
      <c r="D22" s="13" t="s">
        <v>20</v>
      </c>
      <c r="E22" s="3">
        <v>9</v>
      </c>
      <c r="F22" s="3">
        <v>50</v>
      </c>
      <c r="G22" s="5">
        <v>45324</v>
      </c>
      <c r="H22" s="1">
        <f t="shared" si="0"/>
        <v>450</v>
      </c>
      <c r="AA22" s="7"/>
      <c r="AB22" s="1"/>
    </row>
    <row r="23" spans="1:28" ht="15" thickBot="1" x14ac:dyDescent="0.35">
      <c r="A23" s="3">
        <v>1022</v>
      </c>
      <c r="B23" s="4" t="s">
        <v>61</v>
      </c>
      <c r="C23" s="4" t="s">
        <v>22</v>
      </c>
      <c r="D23" s="4" t="s">
        <v>30</v>
      </c>
      <c r="E23" s="3">
        <v>35</v>
      </c>
      <c r="F23" s="3">
        <v>5</v>
      </c>
      <c r="G23" s="5">
        <v>45353</v>
      </c>
      <c r="H23" s="1">
        <f t="shared" si="0"/>
        <v>175</v>
      </c>
      <c r="AA23" s="4"/>
      <c r="AB23" s="1"/>
    </row>
    <row r="24" spans="1:28" ht="15" thickBot="1" x14ac:dyDescent="0.35">
      <c r="A24" s="3">
        <v>1023</v>
      </c>
      <c r="B24" s="4" t="s">
        <v>62</v>
      </c>
      <c r="C24" s="4" t="s">
        <v>25</v>
      </c>
      <c r="D24" s="4" t="s">
        <v>33</v>
      </c>
      <c r="E24" s="3">
        <v>30</v>
      </c>
      <c r="F24" s="3">
        <v>8</v>
      </c>
      <c r="G24" s="5">
        <v>45384</v>
      </c>
      <c r="H24" s="1">
        <f t="shared" si="0"/>
        <v>240</v>
      </c>
      <c r="AA24" s="4"/>
      <c r="AB24" s="1"/>
    </row>
    <row r="25" spans="1:28" ht="21.75" customHeight="1" thickBot="1" x14ac:dyDescent="0.35">
      <c r="A25" s="3">
        <v>1024</v>
      </c>
      <c r="B25" s="4" t="s">
        <v>63</v>
      </c>
      <c r="C25" s="4" t="s">
        <v>28</v>
      </c>
      <c r="D25" s="4" t="s">
        <v>20</v>
      </c>
      <c r="E25" s="3">
        <v>11</v>
      </c>
      <c r="F25" s="3">
        <v>50</v>
      </c>
      <c r="G25" s="5">
        <v>45445</v>
      </c>
      <c r="H25" s="1">
        <f t="shared" si="0"/>
        <v>550</v>
      </c>
      <c r="AA25" s="4"/>
      <c r="AB25" s="1"/>
    </row>
    <row r="26" spans="1:28" ht="15" thickBot="1" x14ac:dyDescent="0.35">
      <c r="A26" s="3">
        <v>1025</v>
      </c>
      <c r="B26" s="4" t="s">
        <v>64</v>
      </c>
      <c r="C26" s="4" t="s">
        <v>19</v>
      </c>
      <c r="D26" s="4" t="s">
        <v>23</v>
      </c>
      <c r="E26" s="3">
        <v>14</v>
      </c>
      <c r="F26" s="3">
        <v>10</v>
      </c>
      <c r="G26" s="5">
        <v>45475</v>
      </c>
      <c r="H26" s="1">
        <f t="shared" si="0"/>
        <v>140</v>
      </c>
      <c r="AA26" s="4"/>
      <c r="AB26" s="1"/>
    </row>
    <row r="27" spans="1:28" ht="15" thickBot="1" x14ac:dyDescent="0.35">
      <c r="A27" s="3">
        <v>1026</v>
      </c>
      <c r="B27" s="4" t="s">
        <v>65</v>
      </c>
      <c r="C27" s="4" t="s">
        <v>22</v>
      </c>
      <c r="D27" s="4" t="s">
        <v>26</v>
      </c>
      <c r="E27" s="3">
        <v>16</v>
      </c>
      <c r="F27" s="3">
        <v>25</v>
      </c>
      <c r="G27" s="5">
        <v>45506</v>
      </c>
      <c r="H27" s="1">
        <f t="shared" si="0"/>
        <v>400</v>
      </c>
      <c r="AA27" s="4"/>
      <c r="AB27" s="1"/>
    </row>
    <row r="28" spans="1:28" ht="15" thickBot="1" x14ac:dyDescent="0.35">
      <c r="A28" s="3">
        <v>1027</v>
      </c>
      <c r="B28" s="4" t="s">
        <v>66</v>
      </c>
      <c r="C28" s="4" t="s">
        <v>25</v>
      </c>
      <c r="D28" s="4" t="s">
        <v>30</v>
      </c>
      <c r="E28" s="3">
        <v>22</v>
      </c>
      <c r="F28" s="3">
        <v>5</v>
      </c>
      <c r="G28" s="5">
        <v>45537</v>
      </c>
      <c r="H28" s="1">
        <f t="shared" si="0"/>
        <v>110</v>
      </c>
      <c r="AA28" s="4"/>
      <c r="AB28" s="1"/>
    </row>
    <row r="29" spans="1:28" ht="15" thickBot="1" x14ac:dyDescent="0.35">
      <c r="A29" s="3">
        <v>1028</v>
      </c>
      <c r="B29" s="4" t="s">
        <v>67</v>
      </c>
      <c r="C29" s="4" t="s">
        <v>28</v>
      </c>
      <c r="D29" s="4" t="s">
        <v>33</v>
      </c>
      <c r="E29" s="3">
        <v>27</v>
      </c>
      <c r="F29" s="3">
        <v>8</v>
      </c>
      <c r="G29" s="5">
        <v>45567</v>
      </c>
      <c r="H29" s="1">
        <f t="shared" si="0"/>
        <v>216</v>
      </c>
      <c r="AA29" s="4"/>
      <c r="AB29" s="1"/>
    </row>
    <row r="30" spans="1:28" ht="21.75" customHeight="1" thickBot="1" x14ac:dyDescent="0.35">
      <c r="A30" s="3">
        <v>1029</v>
      </c>
      <c r="B30" s="4" t="s">
        <v>68</v>
      </c>
      <c r="C30" s="13" t="s">
        <v>19</v>
      </c>
      <c r="D30" s="13" t="s">
        <v>20</v>
      </c>
      <c r="E30" s="3">
        <v>13</v>
      </c>
      <c r="F30" s="3">
        <v>50</v>
      </c>
      <c r="G30" s="5">
        <v>45628</v>
      </c>
      <c r="H30" s="1">
        <f t="shared" si="0"/>
        <v>650</v>
      </c>
      <c r="AA30" s="7"/>
      <c r="AB30" s="1"/>
    </row>
    <row r="31" spans="1:28" ht="15" thickBot="1" x14ac:dyDescent="0.35">
      <c r="A31" s="3">
        <v>1030</v>
      </c>
      <c r="B31" s="4" t="s">
        <v>69</v>
      </c>
      <c r="C31" s="4" t="s">
        <v>22</v>
      </c>
      <c r="D31" s="4" t="s">
        <v>23</v>
      </c>
      <c r="E31" s="3">
        <v>32</v>
      </c>
      <c r="F31" s="3">
        <v>10</v>
      </c>
      <c r="G31" s="3" t="s">
        <v>70</v>
      </c>
      <c r="H31" s="1">
        <f t="shared" si="0"/>
        <v>320</v>
      </c>
      <c r="AA31" s="4"/>
      <c r="AB31" s="1"/>
    </row>
    <row r="32" spans="1:28" ht="15" thickBot="1" x14ac:dyDescent="0.35">
      <c r="A32" s="3">
        <v>1031</v>
      </c>
      <c r="B32" s="4" t="s">
        <v>71</v>
      </c>
      <c r="C32" s="4" t="s">
        <v>25</v>
      </c>
      <c r="D32" s="4" t="s">
        <v>26</v>
      </c>
      <c r="E32" s="3">
        <v>10</v>
      </c>
      <c r="F32" s="3">
        <v>25</v>
      </c>
      <c r="G32" s="3" t="s">
        <v>72</v>
      </c>
      <c r="H32" s="1">
        <f t="shared" si="0"/>
        <v>250</v>
      </c>
      <c r="AA32" s="4"/>
      <c r="AB32" s="1"/>
    </row>
    <row r="33" spans="1:28" ht="15" thickBot="1" x14ac:dyDescent="0.35">
      <c r="A33" s="3">
        <v>1032</v>
      </c>
      <c r="B33" s="4" t="s">
        <v>73</v>
      </c>
      <c r="C33" s="4" t="s">
        <v>28</v>
      </c>
      <c r="D33" s="4" t="s">
        <v>30</v>
      </c>
      <c r="E33" s="3">
        <v>18</v>
      </c>
      <c r="F33" s="3">
        <v>5</v>
      </c>
      <c r="G33" s="3" t="s">
        <v>74</v>
      </c>
      <c r="H33" s="1">
        <f t="shared" si="0"/>
        <v>90</v>
      </c>
      <c r="AA33" s="4"/>
      <c r="AB33" s="1"/>
    </row>
    <row r="34" spans="1:28" ht="15" thickBot="1" x14ac:dyDescent="0.35">
      <c r="A34" s="3">
        <v>1033</v>
      </c>
      <c r="B34" s="4" t="s">
        <v>75</v>
      </c>
      <c r="C34" s="4" t="s">
        <v>19</v>
      </c>
      <c r="D34" s="4" t="s">
        <v>33</v>
      </c>
      <c r="E34" s="3">
        <v>22</v>
      </c>
      <c r="F34" s="3">
        <v>8</v>
      </c>
      <c r="G34" s="3" t="s">
        <v>76</v>
      </c>
      <c r="H34" s="1">
        <f t="shared" si="0"/>
        <v>176</v>
      </c>
      <c r="AA34" s="4"/>
      <c r="AB34" s="1"/>
    </row>
    <row r="35" spans="1:28" ht="20.25" customHeight="1" thickBot="1" x14ac:dyDescent="0.35">
      <c r="A35" s="3">
        <v>1034</v>
      </c>
      <c r="B35" s="4" t="s">
        <v>77</v>
      </c>
      <c r="C35" s="4" t="s">
        <v>22</v>
      </c>
      <c r="D35" s="4" t="s">
        <v>20</v>
      </c>
      <c r="E35" s="3">
        <v>17</v>
      </c>
      <c r="F35" s="3">
        <v>50</v>
      </c>
      <c r="G35" s="3" t="s">
        <v>78</v>
      </c>
      <c r="H35" s="1">
        <f t="shared" si="0"/>
        <v>850</v>
      </c>
      <c r="AA35" s="4"/>
      <c r="AB35" s="1"/>
    </row>
    <row r="36" spans="1:28" ht="15" thickBot="1" x14ac:dyDescent="0.35">
      <c r="A36" s="3">
        <v>1035</v>
      </c>
      <c r="B36" s="4" t="s">
        <v>79</v>
      </c>
      <c r="C36" s="4" t="s">
        <v>25</v>
      </c>
      <c r="D36" s="4" t="s">
        <v>23</v>
      </c>
      <c r="E36" s="3">
        <v>19</v>
      </c>
      <c r="F36" s="3">
        <v>10</v>
      </c>
      <c r="G36" s="3" t="s">
        <v>80</v>
      </c>
      <c r="H36" s="1">
        <f t="shared" si="0"/>
        <v>190</v>
      </c>
      <c r="AA36" s="4"/>
      <c r="AB36" s="1"/>
    </row>
    <row r="37" spans="1:28" ht="15" thickBot="1" x14ac:dyDescent="0.35">
      <c r="A37" s="3">
        <v>1036</v>
      </c>
      <c r="B37" s="4" t="s">
        <v>81</v>
      </c>
      <c r="C37" s="4" t="s">
        <v>28</v>
      </c>
      <c r="D37" s="4" t="s">
        <v>26</v>
      </c>
      <c r="E37" s="3">
        <v>15</v>
      </c>
      <c r="F37" s="3">
        <v>25</v>
      </c>
      <c r="G37" s="3" t="s">
        <v>82</v>
      </c>
      <c r="H37" s="1">
        <f t="shared" si="0"/>
        <v>375</v>
      </c>
      <c r="AA37" s="4"/>
      <c r="AB37" s="1"/>
    </row>
    <row r="38" spans="1:28" ht="15" thickBot="1" x14ac:dyDescent="0.35">
      <c r="A38" s="3">
        <v>1037</v>
      </c>
      <c r="B38" s="4" t="s">
        <v>83</v>
      </c>
      <c r="C38" s="4" t="s">
        <v>19</v>
      </c>
      <c r="D38" s="4" t="s">
        <v>30</v>
      </c>
      <c r="E38" s="3">
        <v>28</v>
      </c>
      <c r="F38" s="3">
        <v>5</v>
      </c>
      <c r="G38" s="3" t="s">
        <v>84</v>
      </c>
      <c r="H38" s="1">
        <f t="shared" si="0"/>
        <v>140</v>
      </c>
      <c r="AA38" s="4"/>
      <c r="AB38" s="1"/>
    </row>
    <row r="39" spans="1:28" ht="15" thickBot="1" x14ac:dyDescent="0.35">
      <c r="A39" s="3">
        <v>1038</v>
      </c>
      <c r="B39" s="4" t="s">
        <v>85</v>
      </c>
      <c r="C39" s="4" t="s">
        <v>22</v>
      </c>
      <c r="D39" s="4" t="s">
        <v>33</v>
      </c>
      <c r="E39" s="3">
        <v>24</v>
      </c>
      <c r="F39" s="3">
        <v>8</v>
      </c>
      <c r="G39" s="3" t="s">
        <v>86</v>
      </c>
      <c r="H39" s="1">
        <f t="shared" si="0"/>
        <v>192</v>
      </c>
      <c r="AA39" s="4"/>
      <c r="AB39" s="1"/>
    </row>
    <row r="40" spans="1:28" ht="21" customHeight="1" thickBot="1" x14ac:dyDescent="0.35">
      <c r="A40" s="3">
        <v>1039</v>
      </c>
      <c r="B40" s="4" t="s">
        <v>87</v>
      </c>
      <c r="C40" s="4" t="s">
        <v>25</v>
      </c>
      <c r="D40" s="4" t="s">
        <v>20</v>
      </c>
      <c r="E40" s="3">
        <v>16</v>
      </c>
      <c r="F40" s="3">
        <v>50</v>
      </c>
      <c r="G40" s="3" t="s">
        <v>88</v>
      </c>
      <c r="H40" s="1">
        <f t="shared" si="0"/>
        <v>800</v>
      </c>
      <c r="AA40" s="4"/>
      <c r="AB40" s="1"/>
    </row>
    <row r="41" spans="1:28" ht="15" thickBot="1" x14ac:dyDescent="0.35">
      <c r="A41" s="3">
        <v>1040</v>
      </c>
      <c r="B41" s="4" t="s">
        <v>89</v>
      </c>
      <c r="C41" s="4" t="s">
        <v>28</v>
      </c>
      <c r="D41" s="4" t="s">
        <v>23</v>
      </c>
      <c r="E41" s="3">
        <v>27</v>
      </c>
      <c r="F41" s="3">
        <v>10</v>
      </c>
      <c r="G41" s="3" t="s">
        <v>90</v>
      </c>
      <c r="H41" s="1">
        <f t="shared" si="0"/>
        <v>270</v>
      </c>
      <c r="AA41" s="4"/>
      <c r="AB41" s="1"/>
    </row>
    <row r="42" spans="1:28" ht="15" thickBot="1" x14ac:dyDescent="0.35">
      <c r="A42" s="3">
        <v>1041</v>
      </c>
      <c r="B42" s="4" t="s">
        <v>91</v>
      </c>
      <c r="C42" s="4" t="s">
        <v>19</v>
      </c>
      <c r="D42" s="4" t="s">
        <v>26</v>
      </c>
      <c r="E42" s="3">
        <v>21</v>
      </c>
      <c r="F42" s="3">
        <v>25</v>
      </c>
      <c r="G42" s="3" t="s">
        <v>92</v>
      </c>
      <c r="H42" s="1">
        <f t="shared" si="0"/>
        <v>525</v>
      </c>
      <c r="AA42" s="4"/>
      <c r="AB42" s="1"/>
    </row>
    <row r="43" spans="1:28" ht="15" thickBot="1" x14ac:dyDescent="0.35">
      <c r="A43" s="3">
        <v>1042</v>
      </c>
      <c r="B43" s="4" t="s">
        <v>93</v>
      </c>
      <c r="C43" s="4" t="s">
        <v>22</v>
      </c>
      <c r="D43" s="4" t="s">
        <v>30</v>
      </c>
      <c r="E43" s="3">
        <v>30</v>
      </c>
      <c r="F43" s="3">
        <v>5</v>
      </c>
      <c r="G43" s="3" t="s">
        <v>94</v>
      </c>
      <c r="H43" s="1">
        <f t="shared" si="0"/>
        <v>150</v>
      </c>
      <c r="AA43" s="4"/>
      <c r="AB43" s="1"/>
    </row>
    <row r="44" spans="1:28" ht="15" thickBot="1" x14ac:dyDescent="0.35">
      <c r="A44" s="3">
        <v>1043</v>
      </c>
      <c r="B44" s="4" t="s">
        <v>95</v>
      </c>
      <c r="C44" s="4" t="s">
        <v>25</v>
      </c>
      <c r="D44" s="4" t="s">
        <v>33</v>
      </c>
      <c r="E44" s="3">
        <v>26</v>
      </c>
      <c r="F44" s="3">
        <v>8</v>
      </c>
      <c r="G44" s="5">
        <v>45294</v>
      </c>
      <c r="H44" s="1">
        <f t="shared" si="0"/>
        <v>208</v>
      </c>
      <c r="AA44" s="4"/>
      <c r="AB44" s="1"/>
    </row>
    <row r="45" spans="1:28" ht="19.5" customHeight="1" thickBot="1" x14ac:dyDescent="0.35">
      <c r="A45" s="3">
        <v>1044</v>
      </c>
      <c r="B45" s="4" t="s">
        <v>96</v>
      </c>
      <c r="C45" s="4" t="s">
        <v>28</v>
      </c>
      <c r="D45" s="4" t="s">
        <v>20</v>
      </c>
      <c r="E45" s="3">
        <v>14</v>
      </c>
      <c r="F45" s="3">
        <v>50</v>
      </c>
      <c r="G45" s="5">
        <v>45325</v>
      </c>
      <c r="H45" s="1">
        <f t="shared" si="0"/>
        <v>700</v>
      </c>
      <c r="AA45" s="4"/>
      <c r="AB45" s="1"/>
    </row>
    <row r="46" spans="1:28" ht="15" thickBot="1" x14ac:dyDescent="0.35">
      <c r="A46" s="3">
        <v>1045</v>
      </c>
      <c r="B46" s="4" t="s">
        <v>97</v>
      </c>
      <c r="C46" s="4" t="s">
        <v>19</v>
      </c>
      <c r="D46" s="4" t="s">
        <v>23</v>
      </c>
      <c r="E46" s="3">
        <v>20</v>
      </c>
      <c r="F46" s="3">
        <v>10</v>
      </c>
      <c r="G46" s="5">
        <v>45354</v>
      </c>
      <c r="H46" s="1">
        <f t="shared" si="0"/>
        <v>200</v>
      </c>
      <c r="AA46" s="4"/>
      <c r="AB46" s="1"/>
    </row>
    <row r="47" spans="1:28" ht="15" thickBot="1" x14ac:dyDescent="0.35">
      <c r="A47" s="3">
        <v>1046</v>
      </c>
      <c r="B47" s="4" t="s">
        <v>98</v>
      </c>
      <c r="C47" s="4" t="s">
        <v>22</v>
      </c>
      <c r="D47" s="4" t="s">
        <v>26</v>
      </c>
      <c r="E47" s="3">
        <v>17</v>
      </c>
      <c r="F47" s="3">
        <v>25</v>
      </c>
      <c r="G47" s="5">
        <v>45385</v>
      </c>
      <c r="H47" s="1">
        <f t="shared" si="0"/>
        <v>425</v>
      </c>
      <c r="AA47" s="4"/>
      <c r="AB47" s="1"/>
    </row>
    <row r="48" spans="1:28" ht="15" thickBot="1" x14ac:dyDescent="0.35">
      <c r="A48" s="3">
        <v>1047</v>
      </c>
      <c r="B48" s="4" t="s">
        <v>99</v>
      </c>
      <c r="C48" s="4" t="s">
        <v>25</v>
      </c>
      <c r="D48" s="4" t="s">
        <v>30</v>
      </c>
      <c r="E48" s="3">
        <v>19</v>
      </c>
      <c r="F48" s="3">
        <v>5</v>
      </c>
      <c r="G48" s="5">
        <v>45415</v>
      </c>
      <c r="H48" s="1">
        <f t="shared" si="0"/>
        <v>95</v>
      </c>
      <c r="AA48" s="4"/>
      <c r="AB48" s="1"/>
    </row>
    <row r="49" spans="1:28" ht="15" thickBot="1" x14ac:dyDescent="0.35">
      <c r="A49" s="3">
        <v>1048</v>
      </c>
      <c r="B49" s="4" t="s">
        <v>100</v>
      </c>
      <c r="C49" s="4" t="s">
        <v>28</v>
      </c>
      <c r="D49" s="4" t="s">
        <v>33</v>
      </c>
      <c r="E49" s="3">
        <v>32</v>
      </c>
      <c r="F49" s="3">
        <v>8</v>
      </c>
      <c r="G49" s="5">
        <v>45446</v>
      </c>
      <c r="H49" s="1">
        <f t="shared" si="0"/>
        <v>256</v>
      </c>
      <c r="AA49" s="4"/>
      <c r="AB49" s="1"/>
    </row>
    <row r="50" spans="1:28" ht="15" customHeight="1" thickBot="1" x14ac:dyDescent="0.35">
      <c r="A50" s="3">
        <v>1049</v>
      </c>
      <c r="B50" s="4" t="s">
        <v>101</v>
      </c>
      <c r="C50" s="13" t="s">
        <v>19</v>
      </c>
      <c r="D50" s="13" t="s">
        <v>20</v>
      </c>
      <c r="E50" s="3">
        <v>12</v>
      </c>
      <c r="F50" s="3">
        <v>50</v>
      </c>
      <c r="G50" s="5">
        <v>45476</v>
      </c>
      <c r="H50" s="1">
        <f t="shared" si="0"/>
        <v>600</v>
      </c>
      <c r="AA50" s="7"/>
      <c r="AB50" s="1"/>
    </row>
    <row r="51" spans="1:28" ht="15" thickBot="1" x14ac:dyDescent="0.35">
      <c r="A51" s="3">
        <v>1050</v>
      </c>
      <c r="B51" s="4" t="s">
        <v>102</v>
      </c>
      <c r="C51" s="4" t="s">
        <v>22</v>
      </c>
      <c r="D51" s="4" t="s">
        <v>23</v>
      </c>
      <c r="E51" s="3">
        <v>25</v>
      </c>
      <c r="F51" s="3">
        <v>10</v>
      </c>
      <c r="G51" s="5">
        <v>45507</v>
      </c>
      <c r="H51" s="1">
        <f t="shared" si="0"/>
        <v>250</v>
      </c>
      <c r="AA51" s="4"/>
      <c r="AB51" s="1"/>
    </row>
    <row r="55" spans="1:28" x14ac:dyDescent="0.3">
      <c r="B55" s="11" t="s">
        <v>14</v>
      </c>
      <c r="C55" s="11" t="s">
        <v>114</v>
      </c>
      <c r="D55" s="1"/>
    </row>
    <row r="56" spans="1:28" x14ac:dyDescent="0.3">
      <c r="B56" s="12" t="s">
        <v>20</v>
      </c>
      <c r="C56" s="12">
        <f ca="1">SUMIF($D$2:$H$51,$B$56,H2:$H$51)</f>
        <v>7550</v>
      </c>
    </row>
    <row r="57" spans="1:28" x14ac:dyDescent="0.3">
      <c r="B57" s="12" t="s">
        <v>30</v>
      </c>
      <c r="C57" s="12">
        <f ca="1">SUMIF(D2:H51,D6,H2:H51)</f>
        <v>1235</v>
      </c>
    </row>
    <row r="58" spans="1:28" x14ac:dyDescent="0.3">
      <c r="B58" s="12" t="s">
        <v>33</v>
      </c>
      <c r="C58" s="12">
        <f ca="1">SUMIF(D2:H51,D8,H2:H51)</f>
        <v>1928</v>
      </c>
    </row>
    <row r="59" spans="1:28" x14ac:dyDescent="0.3">
      <c r="B59" s="12" t="s">
        <v>23</v>
      </c>
      <c r="C59" s="12">
        <f ca="1">SUMIF(D2:H51,D15,H2:H51)</f>
        <v>2180</v>
      </c>
    </row>
    <row r="60" spans="1:28" x14ac:dyDescent="0.3">
      <c r="B60" s="12" t="s">
        <v>26</v>
      </c>
      <c r="C60" s="12">
        <f ca="1">SUMIF(D2:H51,D4,H2:H51)</f>
        <v>3650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Archit Baghel</cp:lastModifiedBy>
  <dcterms:created xsi:type="dcterms:W3CDTF">2025-12-08T13:52:05Z</dcterms:created>
  <dcterms:modified xsi:type="dcterms:W3CDTF">2025-12-14T17:43:04Z</dcterms:modified>
</cp:coreProperties>
</file>