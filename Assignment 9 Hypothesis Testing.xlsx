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AA6CB6D-92F6-457C-A9BE-2671D5271C09}" xr6:coauthVersionLast="47" xr6:coauthVersionMax="47" xr10:uidLastSave="{00000000-0000-0000-0000-000000000000}"/>
  <bookViews>
    <workbookView xWindow="-108" yWindow="-108" windowWidth="23256" windowHeight="12456" xr2:uid="{753566E7-4128-424F-9FD2-077FA8D65E3E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8" l="1"/>
  <c r="H40" i="8"/>
  <c r="H37" i="8"/>
  <c r="H38" i="8"/>
  <c r="H39" i="8"/>
  <c r="H36" i="8"/>
  <c r="G37" i="8"/>
  <c r="G38" i="8"/>
  <c r="G39" i="8"/>
  <c r="G36" i="8"/>
  <c r="F37" i="8"/>
  <c r="F38" i="8"/>
  <c r="F39" i="8"/>
  <c r="F36" i="8"/>
  <c r="C25" i="8"/>
  <c r="C24" i="8"/>
  <c r="C23" i="8"/>
  <c r="C22" i="8"/>
  <c r="D35" i="7"/>
  <c r="D29" i="7"/>
  <c r="C19" i="7"/>
  <c r="D12" i="7"/>
  <c r="C16" i="7"/>
  <c r="C12" i="7"/>
  <c r="E21" i="5"/>
  <c r="D16" i="5"/>
</calcChain>
</file>

<file path=xl/sharedStrings.xml><?xml version="1.0" encoding="utf-8"?>
<sst xmlns="http://schemas.openxmlformats.org/spreadsheetml/2006/main" count="140" uniqueCount="112">
  <si>
    <t>: What is a null hypothesis (H₀) and why is it important in hypothesis testing?</t>
  </si>
  <si>
    <t>A null hypothesis (H₀) states that there is no effect or no difference.</t>
  </si>
  <si>
    <t>It is important because it provides a baseline assumption that is tested statistically to decide whether results are due to chance or are significant</t>
  </si>
  <si>
    <t>Q1</t>
  </si>
  <si>
    <t>: What does the significance level (α) represent in hypothesis testing?</t>
  </si>
  <si>
    <t>The significance level (α) represents the probability of rejecting the null hypothesis when it is actually true (Type I error).</t>
  </si>
  <si>
    <t>It sets the threshold for deciding statistical significance, commonly 0.05</t>
  </si>
  <si>
    <t>Q2</t>
  </si>
  <si>
    <t>: Differentiate between Type I and Type II errors.</t>
  </si>
  <si>
    <t>Type I error (α): Rejecting the null hypothesis when it is actually true (false positive).</t>
  </si>
  <si>
    <t>Type II error (β): Failing to reject the null hypothesis when it is actually false (false negative).</t>
  </si>
  <si>
    <t>Q3</t>
  </si>
  <si>
    <t>: Explain the difference between a one-tailed and two-tailed test. Give an example of each.</t>
  </si>
  <si>
    <t>One-tailed test: Tests for an effect in one direction only.</t>
  </si>
  <si>
    <t>Example: H₁: Mean score &gt; 50</t>
  </si>
  <si>
    <t>Two-tailed test: Tests for an effect in both directions.</t>
  </si>
  <si>
    <t>Example: H₁: Mean score ≠ 50</t>
  </si>
  <si>
    <t>Q4</t>
  </si>
  <si>
    <t>: A company claims that the average time to resolve a customer complaint is 10 minutes. A random sample of 9 complaints gives an average time of 12 minutes and a standard deviation of 3 minutes. At α = 0.05, test the claim</t>
  </si>
  <si>
    <t>USE T TEST</t>
  </si>
  <si>
    <t>SAMPLE MEAN</t>
  </si>
  <si>
    <t>SAMPLE STD</t>
  </si>
  <si>
    <t>SAMPLE SIZE</t>
  </si>
  <si>
    <t>ALPHA</t>
  </si>
  <si>
    <t>STEP1</t>
  </si>
  <si>
    <t>NULL</t>
  </si>
  <si>
    <t>ALTERNATE</t>
  </si>
  <si>
    <t>AVG = 10</t>
  </si>
  <si>
    <t>AVG IS NOT 10, IT IS 12</t>
  </si>
  <si>
    <t>STEP 2</t>
  </si>
  <si>
    <t>T TEST</t>
  </si>
  <si>
    <t>POP. MEAN</t>
  </si>
  <si>
    <t>STEP 3</t>
  </si>
  <si>
    <t>TYPE</t>
  </si>
  <si>
    <t>ONE TAIL</t>
  </si>
  <si>
    <t>DF</t>
  </si>
  <si>
    <t>N-1</t>
  </si>
  <si>
    <t>STEP 4</t>
  </si>
  <si>
    <t>CRITICAL T</t>
  </si>
  <si>
    <t>CALCULATED T</t>
  </si>
  <si>
    <t xml:space="preserve">CRITICAL T </t>
  </si>
  <si>
    <t>&gt;</t>
  </si>
  <si>
    <t>REJECT NULL HYPOTHESIS</t>
  </si>
  <si>
    <t>MEANS AVG COMPLAIN IS NOT RESOLVE IN 10 MIN. IT TAKE'S 12 MIN.</t>
  </si>
  <si>
    <t>Q5</t>
  </si>
  <si>
    <t xml:space="preserve"> When should you use a Z-test instead of a t-test?</t>
  </si>
  <si>
    <t>Use a Z-test when:</t>
  </si>
  <si>
    <t>The population standard deviation (σ) is known, and</t>
  </si>
  <si>
    <t>The sample size is large (n ≥ 30).</t>
  </si>
  <si>
    <t>Use a t-test when σ is unknown or the sample size is small.</t>
  </si>
  <si>
    <t>Q6</t>
  </si>
  <si>
    <t xml:space="preserve"> The productivity of 6 employees was measured before and after a training program.</t>
  </si>
  <si>
    <t>Employee</t>
  </si>
  <si>
    <t>Before</t>
  </si>
  <si>
    <t>After</t>
  </si>
  <si>
    <t>At α = 0.05, test if the training improved productivity.</t>
  </si>
  <si>
    <t>given</t>
  </si>
  <si>
    <t>pop. Mean</t>
  </si>
  <si>
    <t>sample mean</t>
  </si>
  <si>
    <t>sample size</t>
  </si>
  <si>
    <t>sample std</t>
  </si>
  <si>
    <t>alpha</t>
  </si>
  <si>
    <t>step 1</t>
  </si>
  <si>
    <t>NULL HYPOTHESIS</t>
  </si>
  <si>
    <t>ALTERNATE HYPOTHESIS</t>
  </si>
  <si>
    <t>THERE IS AN IMPROVEMENT</t>
  </si>
  <si>
    <t>CAL.T</t>
  </si>
  <si>
    <t>&lt;</t>
  </si>
  <si>
    <t>STEP 5</t>
  </si>
  <si>
    <t>ACCEPT NULL HYPOTHESIS</t>
  </si>
  <si>
    <t>MEANS THERE IS NO IMPROVEMENT IN PRODUCTIVITY</t>
  </si>
  <si>
    <t>NO IMPROVEMENT</t>
  </si>
  <si>
    <t>Q7</t>
  </si>
  <si>
    <t xml:space="preserve"> A company wants to test if product preference is independent of gender.</t>
  </si>
  <si>
    <t>Gender</t>
  </si>
  <si>
    <t>Product A</t>
  </si>
  <si>
    <t>Product B</t>
  </si>
  <si>
    <t>Total</t>
  </si>
  <si>
    <t>Male</t>
  </si>
  <si>
    <t>Female</t>
  </si>
  <si>
    <t>USE CHI SQR</t>
  </si>
  <si>
    <t>STEP 1</t>
  </si>
  <si>
    <t>At α = 0.05, test independence</t>
  </si>
  <si>
    <t>FRAME</t>
  </si>
  <si>
    <t>NO RELATED</t>
  </si>
  <si>
    <t>RELATED</t>
  </si>
  <si>
    <t>EXPECTED FREQUENCIES</t>
  </si>
  <si>
    <t>(RAW TOTAL*COLUMN TOTAL)/GRAND TOTAL</t>
  </si>
  <si>
    <t>MALE P.A.</t>
  </si>
  <si>
    <t>MALE P.B.</t>
  </si>
  <si>
    <t>FEMALE</t>
  </si>
  <si>
    <t>FEMALE P.A.</t>
  </si>
  <si>
    <t>FENALE P.B.</t>
  </si>
  <si>
    <t>EXPECTED TABLE</t>
  </si>
  <si>
    <t>GENDER</t>
  </si>
  <si>
    <t>MALE</t>
  </si>
  <si>
    <t>PRODUCT.A</t>
  </si>
  <si>
    <t>PRODUCT.B</t>
  </si>
  <si>
    <t>OBSERVE</t>
  </si>
  <si>
    <t>EXPECTED</t>
  </si>
  <si>
    <t>O-E</t>
  </si>
  <si>
    <t>(O-E)^2</t>
  </si>
  <si>
    <t>(O-E)^2/E</t>
  </si>
  <si>
    <t>SUM</t>
  </si>
  <si>
    <t>CALC. C</t>
  </si>
  <si>
    <t>(NO.OF ROWS -1) *(NO. OF COLUMN-1)</t>
  </si>
  <si>
    <t>CRITICAL C</t>
  </si>
  <si>
    <t>CALC .C.</t>
  </si>
  <si>
    <t>CRITICAL .C</t>
  </si>
  <si>
    <t>STEP 6</t>
  </si>
  <si>
    <t>MEANS PRODUCT PREFERENCE IS RELATED TO GENDER</t>
  </si>
  <si>
    <t>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</si>
</sst>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C4AD-4231-47DC-8B0D-FF0F7CE30785}">
  <dimension ref="A1:B5"/>
  <sheetViews>
    <sheetView showGridLines="0" tabSelected="1" workbookViewId="0">
      <selection activeCell="C14" sqref="C14"/>
    </sheetView>
  </sheetViews>
  <sheetFormatPr defaultRowHeight="14.4" x14ac:dyDescent="0.3"/>
  <sheetData>
    <row r="1" spans="1:2" x14ac:dyDescent="0.3">
      <c r="A1" t="s">
        <v>3</v>
      </c>
    </row>
    <row r="2" spans="1:2" x14ac:dyDescent="0.3">
      <c r="B2" s="1" t="s">
        <v>0</v>
      </c>
    </row>
    <row r="4" spans="1:2" x14ac:dyDescent="0.3">
      <c r="B4" t="s">
        <v>1</v>
      </c>
    </row>
    <row r="5" spans="1:2" x14ac:dyDescent="0.3">
      <c r="B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CFB1-E678-455E-839A-099D733B2B86}">
  <dimension ref="A1:B7"/>
  <sheetViews>
    <sheetView showGridLines="0" workbookViewId="0">
      <selection activeCell="D30" sqref="D30"/>
    </sheetView>
  </sheetViews>
  <sheetFormatPr defaultRowHeight="14.4" x14ac:dyDescent="0.3"/>
  <sheetData>
    <row r="1" spans="1:2" x14ac:dyDescent="0.3">
      <c r="A1" t="s">
        <v>7</v>
      </c>
    </row>
    <row r="3" spans="1:2" x14ac:dyDescent="0.3">
      <c r="B3" s="1" t="s">
        <v>4</v>
      </c>
    </row>
    <row r="6" spans="1:2" x14ac:dyDescent="0.3">
      <c r="B6" t="s">
        <v>5</v>
      </c>
    </row>
    <row r="7" spans="1:2" x14ac:dyDescent="0.3">
      <c r="B7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B032-1CE8-47B4-A5A5-278E467A2E6A}">
  <dimension ref="A1:B7"/>
  <sheetViews>
    <sheetView workbookViewId="0">
      <selection activeCell="D29" sqref="D29"/>
    </sheetView>
  </sheetViews>
  <sheetFormatPr defaultRowHeight="14.4" x14ac:dyDescent="0.3"/>
  <sheetData>
    <row r="1" spans="1:2" x14ac:dyDescent="0.3">
      <c r="A1" t="s">
        <v>11</v>
      </c>
    </row>
    <row r="2" spans="1:2" x14ac:dyDescent="0.3">
      <c r="B2" s="1" t="s">
        <v>8</v>
      </c>
    </row>
    <row r="5" spans="1:2" x14ac:dyDescent="0.3">
      <c r="B5" t="s">
        <v>9</v>
      </c>
    </row>
    <row r="7" spans="1:2" x14ac:dyDescent="0.3">
      <c r="B7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D804-2FAF-4C47-9333-82B51685B6FC}">
  <dimension ref="A1:B8"/>
  <sheetViews>
    <sheetView workbookViewId="0">
      <selection activeCell="E29" sqref="E29"/>
    </sheetView>
  </sheetViews>
  <sheetFormatPr defaultRowHeight="14.4" x14ac:dyDescent="0.3"/>
  <sheetData>
    <row r="1" spans="1:2" x14ac:dyDescent="0.3">
      <c r="A1" t="s">
        <v>17</v>
      </c>
    </row>
    <row r="2" spans="1:2" x14ac:dyDescent="0.3">
      <c r="B2" s="1" t="s">
        <v>12</v>
      </c>
    </row>
    <row r="4" spans="1:2" x14ac:dyDescent="0.3">
      <c r="B4" t="s">
        <v>13</v>
      </c>
    </row>
    <row r="5" spans="1:2" x14ac:dyDescent="0.3">
      <c r="B5" t="s">
        <v>14</v>
      </c>
    </row>
    <row r="7" spans="1:2" x14ac:dyDescent="0.3">
      <c r="B7" t="s">
        <v>15</v>
      </c>
    </row>
    <row r="8" spans="1:2" x14ac:dyDescent="0.3">
      <c r="B8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E9812-914E-40E6-B107-D1677E76C07C}">
  <dimension ref="A1:E29"/>
  <sheetViews>
    <sheetView workbookViewId="0">
      <selection activeCell="M23" sqref="M23"/>
    </sheetView>
  </sheetViews>
  <sheetFormatPr defaultRowHeight="14.4" x14ac:dyDescent="0.3"/>
  <cols>
    <col min="2" max="2" width="16.5546875" customWidth="1"/>
    <col min="3" max="3" width="15.6640625" customWidth="1"/>
  </cols>
  <sheetData>
    <row r="1" spans="1:4" x14ac:dyDescent="0.3">
      <c r="A1" t="s">
        <v>44</v>
      </c>
    </row>
    <row r="2" spans="1:4" x14ac:dyDescent="0.3">
      <c r="B2" s="1" t="s">
        <v>18</v>
      </c>
    </row>
    <row r="4" spans="1:4" x14ac:dyDescent="0.3">
      <c r="B4" t="s">
        <v>19</v>
      </c>
    </row>
    <row r="5" spans="1:4" x14ac:dyDescent="0.3">
      <c r="B5" t="s">
        <v>31</v>
      </c>
      <c r="C5">
        <v>10</v>
      </c>
    </row>
    <row r="6" spans="1:4" x14ac:dyDescent="0.3">
      <c r="B6" t="s">
        <v>20</v>
      </c>
      <c r="C6">
        <v>12</v>
      </c>
    </row>
    <row r="7" spans="1:4" x14ac:dyDescent="0.3">
      <c r="B7" t="s">
        <v>21</v>
      </c>
      <c r="C7">
        <v>3</v>
      </c>
    </row>
    <row r="8" spans="1:4" x14ac:dyDescent="0.3">
      <c r="B8" t="s">
        <v>22</v>
      </c>
      <c r="C8">
        <v>9</v>
      </c>
    </row>
    <row r="9" spans="1:4" x14ac:dyDescent="0.3">
      <c r="B9" t="s">
        <v>23</v>
      </c>
      <c r="C9">
        <v>0.05</v>
      </c>
    </row>
    <row r="11" spans="1:4" x14ac:dyDescent="0.3">
      <c r="B11" t="s">
        <v>24</v>
      </c>
    </row>
    <row r="12" spans="1:4" x14ac:dyDescent="0.3">
      <c r="C12" t="s">
        <v>25</v>
      </c>
      <c r="D12" t="s">
        <v>27</v>
      </c>
    </row>
    <row r="13" spans="1:4" x14ac:dyDescent="0.3">
      <c r="C13" t="s">
        <v>26</v>
      </c>
      <c r="D13" t="s">
        <v>28</v>
      </c>
    </row>
    <row r="15" spans="1:4" x14ac:dyDescent="0.3">
      <c r="B15" t="s">
        <v>29</v>
      </c>
    </row>
    <row r="16" spans="1:4" x14ac:dyDescent="0.3">
      <c r="C16" t="s">
        <v>30</v>
      </c>
      <c r="D16">
        <f>(C6-C5)/(C7/SQRT(C8))</f>
        <v>2</v>
      </c>
    </row>
    <row r="18" spans="2:5" x14ac:dyDescent="0.3">
      <c r="B18" t="s">
        <v>32</v>
      </c>
    </row>
    <row r="19" spans="2:5" x14ac:dyDescent="0.3">
      <c r="C19" t="s">
        <v>33</v>
      </c>
      <c r="D19" t="s">
        <v>34</v>
      </c>
    </row>
    <row r="20" spans="2:5" x14ac:dyDescent="0.3">
      <c r="C20" t="s">
        <v>23</v>
      </c>
      <c r="D20">
        <v>0.05</v>
      </c>
    </row>
    <row r="21" spans="2:5" x14ac:dyDescent="0.3">
      <c r="C21" t="s">
        <v>35</v>
      </c>
      <c r="D21" t="s">
        <v>36</v>
      </c>
      <c r="E21">
        <f>C8-1</f>
        <v>8</v>
      </c>
    </row>
    <row r="22" spans="2:5" x14ac:dyDescent="0.3">
      <c r="C22" t="s">
        <v>38</v>
      </c>
      <c r="D22">
        <v>1.86</v>
      </c>
    </row>
    <row r="23" spans="2:5" x14ac:dyDescent="0.3">
      <c r="B23" t="s">
        <v>37</v>
      </c>
    </row>
    <row r="24" spans="2:5" x14ac:dyDescent="0.3">
      <c r="C24" t="s">
        <v>39</v>
      </c>
      <c r="E24" t="s">
        <v>40</v>
      </c>
    </row>
    <row r="25" spans="2:5" x14ac:dyDescent="0.3">
      <c r="C25">
        <v>2</v>
      </c>
      <c r="D25" t="s">
        <v>41</v>
      </c>
      <c r="E25">
        <v>1.86</v>
      </c>
    </row>
    <row r="27" spans="2:5" x14ac:dyDescent="0.3">
      <c r="B27" t="s">
        <v>37</v>
      </c>
    </row>
    <row r="28" spans="2:5" x14ac:dyDescent="0.3">
      <c r="C28" t="s">
        <v>42</v>
      </c>
    </row>
    <row r="29" spans="2:5" x14ac:dyDescent="0.3">
      <c r="C29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6AB6-227B-4181-98B8-C56CF56AA35D}">
  <dimension ref="A1:B10"/>
  <sheetViews>
    <sheetView workbookViewId="0">
      <selection activeCell="D18" sqref="D18"/>
    </sheetView>
  </sheetViews>
  <sheetFormatPr defaultRowHeight="14.4" x14ac:dyDescent="0.3"/>
  <sheetData>
    <row r="1" spans="1:2" x14ac:dyDescent="0.3">
      <c r="A1" t="s">
        <v>50</v>
      </c>
    </row>
    <row r="2" spans="1:2" x14ac:dyDescent="0.3">
      <c r="B2" s="1" t="s">
        <v>45</v>
      </c>
    </row>
    <row r="4" spans="1:2" x14ac:dyDescent="0.3">
      <c r="B4" t="s">
        <v>46</v>
      </c>
    </row>
    <row r="6" spans="1:2" x14ac:dyDescent="0.3">
      <c r="B6" t="s">
        <v>47</v>
      </c>
    </row>
    <row r="8" spans="1:2" x14ac:dyDescent="0.3">
      <c r="B8" t="s">
        <v>48</v>
      </c>
    </row>
    <row r="10" spans="1:2" x14ac:dyDescent="0.3">
      <c r="B10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835D-667F-4F56-A947-3E8AB9BA5029}">
  <dimension ref="A1:E44"/>
  <sheetViews>
    <sheetView topLeftCell="A23" zoomScale="87" zoomScaleNormal="130" workbookViewId="0">
      <selection activeCell="F33" sqref="F33"/>
    </sheetView>
  </sheetViews>
  <sheetFormatPr defaultRowHeight="14.4" x14ac:dyDescent="0.3"/>
  <cols>
    <col min="2" max="2" width="13.44140625" customWidth="1"/>
    <col min="3" max="3" width="21.21875" customWidth="1"/>
  </cols>
  <sheetData>
    <row r="1" spans="1:4" x14ac:dyDescent="0.3">
      <c r="A1" t="s">
        <v>72</v>
      </c>
    </row>
    <row r="2" spans="1:4" x14ac:dyDescent="0.3">
      <c r="B2" s="1" t="s">
        <v>51</v>
      </c>
    </row>
    <row r="3" spans="1:4" x14ac:dyDescent="0.3">
      <c r="B3" s="1" t="s">
        <v>55</v>
      </c>
    </row>
    <row r="5" spans="1:4" x14ac:dyDescent="0.3">
      <c r="B5" t="s">
        <v>52</v>
      </c>
      <c r="C5" t="s">
        <v>53</v>
      </c>
      <c r="D5" t="s">
        <v>54</v>
      </c>
    </row>
    <row r="6" spans="1:4" x14ac:dyDescent="0.3">
      <c r="B6">
        <v>1</v>
      </c>
      <c r="C6">
        <v>50</v>
      </c>
      <c r="D6">
        <v>55</v>
      </c>
    </row>
    <row r="7" spans="1:4" x14ac:dyDescent="0.3">
      <c r="B7">
        <v>2</v>
      </c>
      <c r="C7">
        <v>60</v>
      </c>
      <c r="D7">
        <v>65</v>
      </c>
    </row>
    <row r="8" spans="1:4" x14ac:dyDescent="0.3">
      <c r="B8">
        <v>3</v>
      </c>
      <c r="C8">
        <v>58</v>
      </c>
      <c r="D8">
        <v>59</v>
      </c>
    </row>
    <row r="9" spans="1:4" x14ac:dyDescent="0.3">
      <c r="B9">
        <v>4</v>
      </c>
      <c r="C9">
        <v>55</v>
      </c>
      <c r="D9">
        <v>58</v>
      </c>
    </row>
    <row r="10" spans="1:4" x14ac:dyDescent="0.3">
      <c r="B10">
        <v>5</v>
      </c>
      <c r="C10">
        <v>62</v>
      </c>
      <c r="D10">
        <v>63</v>
      </c>
    </row>
    <row r="11" spans="1:4" x14ac:dyDescent="0.3">
      <c r="B11">
        <v>6</v>
      </c>
      <c r="C11">
        <v>56</v>
      </c>
      <c r="D11">
        <v>59</v>
      </c>
    </row>
    <row r="12" spans="1:4" x14ac:dyDescent="0.3">
      <c r="C12">
        <f>AVERAGE(C6:C11)</f>
        <v>56.833333333333336</v>
      </c>
      <c r="D12">
        <f>AVERAGE(D6:D11)</f>
        <v>59.833333333333336</v>
      </c>
    </row>
    <row r="15" spans="1:4" x14ac:dyDescent="0.3">
      <c r="B15" t="s">
        <v>56</v>
      </c>
    </row>
    <row r="16" spans="1:4" x14ac:dyDescent="0.3">
      <c r="B16" t="s">
        <v>57</v>
      </c>
      <c r="C16">
        <f>AVERAGE(C10:C15)</f>
        <v>58.277777777777779</v>
      </c>
    </row>
    <row r="17" spans="2:4" x14ac:dyDescent="0.3">
      <c r="B17" t="s">
        <v>58</v>
      </c>
      <c r="C17">
        <v>59.833329999999997</v>
      </c>
    </row>
    <row r="18" spans="2:4" x14ac:dyDescent="0.3">
      <c r="B18" t="s">
        <v>59</v>
      </c>
      <c r="C18">
        <v>6</v>
      </c>
    </row>
    <row r="19" spans="2:4" x14ac:dyDescent="0.3">
      <c r="B19" t="s">
        <v>60</v>
      </c>
      <c r="C19">
        <f>_xlfn.STDEV.P(D6:D11)</f>
        <v>3.2871804872193366</v>
      </c>
    </row>
    <row r="20" spans="2:4" x14ac:dyDescent="0.3">
      <c r="B20" t="s">
        <v>61</v>
      </c>
      <c r="C20">
        <v>0.05</v>
      </c>
    </row>
    <row r="23" spans="2:4" x14ac:dyDescent="0.3">
      <c r="B23" t="s">
        <v>62</v>
      </c>
    </row>
    <row r="24" spans="2:4" x14ac:dyDescent="0.3">
      <c r="C24" t="s">
        <v>63</v>
      </c>
      <c r="D24" t="s">
        <v>71</v>
      </c>
    </row>
    <row r="25" spans="2:4" x14ac:dyDescent="0.3">
      <c r="C25" t="s">
        <v>64</v>
      </c>
      <c r="D25" t="s">
        <v>65</v>
      </c>
    </row>
    <row r="28" spans="2:4" x14ac:dyDescent="0.3">
      <c r="B28" t="s">
        <v>29</v>
      </c>
    </row>
    <row r="29" spans="2:4" x14ac:dyDescent="0.3">
      <c r="C29" t="s">
        <v>30</v>
      </c>
      <c r="D29">
        <f>(C17-C16)/(C19/SQRT(C18))</f>
        <v>1.159142075560349</v>
      </c>
    </row>
    <row r="32" spans="2:4" x14ac:dyDescent="0.3">
      <c r="B32" t="s">
        <v>32</v>
      </c>
    </row>
    <row r="33" spans="2:5" x14ac:dyDescent="0.3">
      <c r="C33" t="s">
        <v>23</v>
      </c>
      <c r="D33">
        <v>0.05</v>
      </c>
    </row>
    <row r="34" spans="2:5" x14ac:dyDescent="0.3">
      <c r="C34" t="s">
        <v>33</v>
      </c>
      <c r="D34" t="s">
        <v>34</v>
      </c>
    </row>
    <row r="35" spans="2:5" x14ac:dyDescent="0.3">
      <c r="C35" t="s">
        <v>35</v>
      </c>
      <c r="D35">
        <f>C18-1</f>
        <v>5</v>
      </c>
    </row>
    <row r="37" spans="2:5" x14ac:dyDescent="0.3">
      <c r="C37" t="s">
        <v>38</v>
      </c>
      <c r="D37">
        <v>2.0249999999999999</v>
      </c>
    </row>
    <row r="39" spans="2:5" x14ac:dyDescent="0.3">
      <c r="B39" t="s">
        <v>37</v>
      </c>
    </row>
    <row r="40" spans="2:5" x14ac:dyDescent="0.3">
      <c r="C40" t="s">
        <v>66</v>
      </c>
      <c r="E40" t="s">
        <v>38</v>
      </c>
    </row>
    <row r="41" spans="2:5" x14ac:dyDescent="0.3">
      <c r="C41">
        <v>1.1499999999999999</v>
      </c>
      <c r="D41" t="s">
        <v>67</v>
      </c>
      <c r="E41">
        <v>2.0249999999999999</v>
      </c>
    </row>
    <row r="42" spans="2:5" x14ac:dyDescent="0.3">
      <c r="B42" t="s">
        <v>68</v>
      </c>
    </row>
    <row r="43" spans="2:5" x14ac:dyDescent="0.3">
      <c r="C43" t="s">
        <v>69</v>
      </c>
    </row>
    <row r="44" spans="2:5" x14ac:dyDescent="0.3">
      <c r="C44" t="s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E6F8C-2351-425F-AFFA-AE0F9ACC17D9}">
  <dimension ref="A1:H62"/>
  <sheetViews>
    <sheetView zoomScale="71" workbookViewId="0">
      <selection activeCell="K21" sqref="K21"/>
    </sheetView>
  </sheetViews>
  <sheetFormatPr defaultRowHeight="14.4" x14ac:dyDescent="0.3"/>
  <cols>
    <col min="2" max="2" width="12.88671875" customWidth="1"/>
    <col min="3" max="3" width="14.33203125" customWidth="1"/>
    <col min="4" max="4" width="11.109375" customWidth="1"/>
    <col min="5" max="5" width="13.6640625" customWidth="1"/>
    <col min="8" max="8" width="17.77734375" customWidth="1"/>
  </cols>
  <sheetData>
    <row r="1" spans="1:5" x14ac:dyDescent="0.3">
      <c r="A1" t="s">
        <v>111</v>
      </c>
    </row>
    <row r="2" spans="1:5" x14ac:dyDescent="0.3">
      <c r="B2" s="1" t="s">
        <v>73</v>
      </c>
    </row>
    <row r="3" spans="1:5" x14ac:dyDescent="0.3">
      <c r="B3" s="1"/>
    </row>
    <row r="4" spans="1:5" x14ac:dyDescent="0.3">
      <c r="B4" t="s">
        <v>82</v>
      </c>
    </row>
    <row r="5" spans="1:5" x14ac:dyDescent="0.3">
      <c r="B5" t="s">
        <v>74</v>
      </c>
      <c r="C5" t="s">
        <v>75</v>
      </c>
      <c r="D5" t="s">
        <v>76</v>
      </c>
      <c r="E5" t="s">
        <v>77</v>
      </c>
    </row>
    <row r="6" spans="1:5" x14ac:dyDescent="0.3">
      <c r="B6" t="s">
        <v>78</v>
      </c>
      <c r="C6">
        <v>30</v>
      </c>
      <c r="D6">
        <v>20</v>
      </c>
      <c r="E6">
        <v>50</v>
      </c>
    </row>
    <row r="7" spans="1:5" x14ac:dyDescent="0.3">
      <c r="B7" t="s">
        <v>79</v>
      </c>
      <c r="C7">
        <v>10</v>
      </c>
      <c r="D7">
        <v>40</v>
      </c>
      <c r="E7">
        <v>50</v>
      </c>
    </row>
    <row r="8" spans="1:5" x14ac:dyDescent="0.3">
      <c r="B8" t="s">
        <v>77</v>
      </c>
      <c r="C8">
        <v>40</v>
      </c>
      <c r="D8">
        <v>60</v>
      </c>
      <c r="E8">
        <v>100</v>
      </c>
    </row>
    <row r="11" spans="1:5" x14ac:dyDescent="0.3">
      <c r="B11" t="s">
        <v>80</v>
      </c>
    </row>
    <row r="13" spans="1:5" x14ac:dyDescent="0.3">
      <c r="B13" t="s">
        <v>81</v>
      </c>
    </row>
    <row r="14" spans="1:5" x14ac:dyDescent="0.3">
      <c r="C14" t="s">
        <v>83</v>
      </c>
    </row>
    <row r="15" spans="1:5" x14ac:dyDescent="0.3">
      <c r="C15" t="s">
        <v>25</v>
      </c>
      <c r="D15" t="s">
        <v>84</v>
      </c>
    </row>
    <row r="16" spans="1:5" x14ac:dyDescent="0.3">
      <c r="C16" t="s">
        <v>26</v>
      </c>
      <c r="D16" t="s">
        <v>85</v>
      </c>
    </row>
    <row r="18" spans="2:5" x14ac:dyDescent="0.3">
      <c r="B18" t="s">
        <v>29</v>
      </c>
    </row>
    <row r="19" spans="2:5" x14ac:dyDescent="0.3">
      <c r="C19" t="s">
        <v>86</v>
      </c>
    </row>
    <row r="20" spans="2:5" x14ac:dyDescent="0.3">
      <c r="C20" t="s">
        <v>87</v>
      </c>
    </row>
    <row r="22" spans="2:5" x14ac:dyDescent="0.3">
      <c r="B22" t="s">
        <v>88</v>
      </c>
      <c r="C22">
        <f>(E6*C8)/E8</f>
        <v>20</v>
      </c>
    </row>
    <row r="23" spans="2:5" x14ac:dyDescent="0.3">
      <c r="B23" t="s">
        <v>89</v>
      </c>
      <c r="C23">
        <f>(E6*D8)/E8</f>
        <v>30</v>
      </c>
    </row>
    <row r="24" spans="2:5" x14ac:dyDescent="0.3">
      <c r="B24" t="s">
        <v>91</v>
      </c>
      <c r="C24">
        <f>(E7*C8)/E8</f>
        <v>20</v>
      </c>
    </row>
    <row r="25" spans="2:5" x14ac:dyDescent="0.3">
      <c r="B25" t="s">
        <v>92</v>
      </c>
      <c r="C25">
        <f>(E7*D8)/E8</f>
        <v>30</v>
      </c>
    </row>
    <row r="27" spans="2:5" x14ac:dyDescent="0.3">
      <c r="C27" t="s">
        <v>93</v>
      </c>
    </row>
    <row r="29" spans="2:5" x14ac:dyDescent="0.3">
      <c r="C29" t="s">
        <v>94</v>
      </c>
      <c r="D29" t="s">
        <v>96</v>
      </c>
      <c r="E29" t="s">
        <v>97</v>
      </c>
    </row>
    <row r="30" spans="2:5" x14ac:dyDescent="0.3">
      <c r="C30" t="s">
        <v>95</v>
      </c>
      <c r="D30">
        <v>20</v>
      </c>
      <c r="E30">
        <v>30</v>
      </c>
    </row>
    <row r="31" spans="2:5" x14ac:dyDescent="0.3">
      <c r="C31" t="s">
        <v>90</v>
      </c>
      <c r="D31">
        <v>20</v>
      </c>
      <c r="E31">
        <v>30</v>
      </c>
    </row>
    <row r="35" spans="2:8" x14ac:dyDescent="0.3">
      <c r="B35" t="s">
        <v>32</v>
      </c>
      <c r="D35" t="s">
        <v>98</v>
      </c>
      <c r="E35" t="s">
        <v>99</v>
      </c>
      <c r="F35" t="s">
        <v>100</v>
      </c>
      <c r="G35" t="s">
        <v>101</v>
      </c>
      <c r="H35" t="s">
        <v>102</v>
      </c>
    </row>
    <row r="36" spans="2:8" x14ac:dyDescent="0.3">
      <c r="C36" t="s">
        <v>88</v>
      </c>
      <c r="D36">
        <v>30</v>
      </c>
      <c r="E36">
        <v>20</v>
      </c>
      <c r="F36">
        <f>D36-E36</f>
        <v>10</v>
      </c>
      <c r="G36">
        <f>F36^2</f>
        <v>100</v>
      </c>
      <c r="H36">
        <f>G36/E36</f>
        <v>5</v>
      </c>
    </row>
    <row r="37" spans="2:8" x14ac:dyDescent="0.3">
      <c r="C37" t="s">
        <v>89</v>
      </c>
      <c r="D37">
        <v>20</v>
      </c>
      <c r="E37">
        <v>30</v>
      </c>
      <c r="F37">
        <f t="shared" ref="F37:F39" si="0">D37-E37</f>
        <v>-10</v>
      </c>
      <c r="G37">
        <f t="shared" ref="G37:G39" si="1">F37^2</f>
        <v>100</v>
      </c>
      <c r="H37">
        <f t="shared" ref="H37:H39" si="2">G37/E37</f>
        <v>3.3333333333333335</v>
      </c>
    </row>
    <row r="38" spans="2:8" x14ac:dyDescent="0.3">
      <c r="C38" t="s">
        <v>91</v>
      </c>
      <c r="D38">
        <v>10</v>
      </c>
      <c r="E38">
        <v>20</v>
      </c>
      <c r="F38">
        <f t="shared" si="0"/>
        <v>-10</v>
      </c>
      <c r="G38">
        <f t="shared" si="1"/>
        <v>100</v>
      </c>
      <c r="H38">
        <f t="shared" si="2"/>
        <v>5</v>
      </c>
    </row>
    <row r="39" spans="2:8" x14ac:dyDescent="0.3">
      <c r="C39" t="s">
        <v>92</v>
      </c>
      <c r="D39">
        <v>40</v>
      </c>
      <c r="E39">
        <v>30</v>
      </c>
      <c r="F39">
        <f t="shared" si="0"/>
        <v>10</v>
      </c>
      <c r="G39">
        <f t="shared" si="1"/>
        <v>100</v>
      </c>
      <c r="H39">
        <f t="shared" si="2"/>
        <v>3.3333333333333335</v>
      </c>
    </row>
    <row r="40" spans="2:8" x14ac:dyDescent="0.3">
      <c r="G40" t="s">
        <v>103</v>
      </c>
      <c r="H40">
        <f>SUM(H36:H39)</f>
        <v>16.666666666666668</v>
      </c>
    </row>
    <row r="42" spans="2:8" x14ac:dyDescent="0.3">
      <c r="C42" t="s">
        <v>104</v>
      </c>
      <c r="D42">
        <v>16.66</v>
      </c>
    </row>
    <row r="44" spans="2:8" x14ac:dyDescent="0.3">
      <c r="B44" t="s">
        <v>37</v>
      </c>
    </row>
    <row r="45" spans="2:8" x14ac:dyDescent="0.3">
      <c r="C45" t="s">
        <v>35</v>
      </c>
    </row>
    <row r="46" spans="2:8" x14ac:dyDescent="0.3">
      <c r="D46" t="s">
        <v>105</v>
      </c>
    </row>
    <row r="48" spans="2:8" x14ac:dyDescent="0.3">
      <c r="D48">
        <f>(2-1)*(2-1)</f>
        <v>1</v>
      </c>
    </row>
    <row r="50" spans="2:5" x14ac:dyDescent="0.3">
      <c r="C50" t="s">
        <v>23</v>
      </c>
      <c r="D50">
        <v>0.05</v>
      </c>
    </row>
    <row r="51" spans="2:5" x14ac:dyDescent="0.3">
      <c r="C51" t="s">
        <v>35</v>
      </c>
      <c r="D51">
        <v>1</v>
      </c>
    </row>
    <row r="52" spans="2:5" x14ac:dyDescent="0.3">
      <c r="C52" t="s">
        <v>106</v>
      </c>
      <c r="D52">
        <v>3.84</v>
      </c>
    </row>
    <row r="55" spans="2:5" x14ac:dyDescent="0.3">
      <c r="B55" t="s">
        <v>68</v>
      </c>
    </row>
    <row r="56" spans="2:5" x14ac:dyDescent="0.3">
      <c r="C56" t="s">
        <v>107</v>
      </c>
      <c r="E56" t="s">
        <v>108</v>
      </c>
    </row>
    <row r="57" spans="2:5" x14ac:dyDescent="0.3">
      <c r="C57">
        <v>16.66</v>
      </c>
      <c r="D57" t="s">
        <v>41</v>
      </c>
      <c r="E57">
        <v>3.84</v>
      </c>
    </row>
    <row r="60" spans="2:5" x14ac:dyDescent="0.3">
      <c r="B60" t="s">
        <v>109</v>
      </c>
    </row>
    <row r="61" spans="2:5" x14ac:dyDescent="0.3">
      <c r="C61" t="s">
        <v>42</v>
      </c>
    </row>
    <row r="62" spans="2:5" x14ac:dyDescent="0.3">
      <c r="C6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Archit Baghel</cp:lastModifiedBy>
  <dcterms:created xsi:type="dcterms:W3CDTF">2026-01-11T08:08:07Z</dcterms:created>
  <dcterms:modified xsi:type="dcterms:W3CDTF">2026-01-15T05:38:08Z</dcterms:modified>
</cp:coreProperties>
</file>